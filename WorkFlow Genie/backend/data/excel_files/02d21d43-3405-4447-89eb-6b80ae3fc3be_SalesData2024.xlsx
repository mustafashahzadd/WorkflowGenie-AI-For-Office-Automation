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nL" sheetId="2" state="visible" r:id="rId2"/>
    <sheet xmlns:r="http://schemas.openxmlformats.org/officeDocument/2006/relationships" name="Cash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 2024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'Sheet1'!$A$2:$A$11</f>
            </numRef>
          </cat>
          <val>
            <numRef>
              <f>'Sheet1'!$B$2:$B$11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Distribution by Month</a:t>
            </a:r>
          </a:p>
        </rich>
      </tx>
    </title>
    <plotArea>
      <pieChart>
        <varyColors val="1"/>
        <ser>
          <idx val="0"/>
          <order val="0"/>
          <tx>
            <strRef>
              <f>'Sheet1'!D1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'Sheet1'!$A$2:$A$10</f>
            </numRef>
          </cat>
          <val>
            <numRef>
              <f>'Sheet1'!$D$2:$D$10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Profit Correlation</a:t>
            </a:r>
          </a:p>
        </rich>
      </tx>
    </title>
    <plotArea>
      <scatterChart>
        <ser>
          <idx val="0"/>
          <order val="0"/>
          <tx>
            <v>Data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'Sheet1'!$B$2:$B$11</f>
            </numRef>
          </xVal>
          <yVal>
            <numRef>
              <f>'Sheet1'!$D$2:$D$11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Oct</t>
        </is>
      </c>
      <c r="B2" t="n">
        <v>80000</v>
      </c>
      <c r="C2" t="n">
        <v>48000</v>
      </c>
      <c r="D2">
        <f>B11-C11</f>
        <v/>
      </c>
    </row>
    <row r="3">
      <c r="A3" t="inlineStr">
        <is>
          <t>Sep</t>
        </is>
      </c>
      <c r="B3" t="n">
        <v>75000</v>
      </c>
      <c r="C3" t="n">
        <v>45000</v>
      </c>
      <c r="D3">
        <f>B10-C10</f>
        <v/>
      </c>
    </row>
    <row r="4">
      <c r="A4" t="inlineStr">
        <is>
          <t>Jun</t>
        </is>
      </c>
      <c r="B4" t="n">
        <v>70000</v>
      </c>
      <c r="C4" t="n">
        <v>42000</v>
      </c>
      <c r="D4">
        <f>B7-C7</f>
        <v/>
      </c>
    </row>
    <row r="5">
      <c r="A5" t="inlineStr">
        <is>
          <t>May</t>
        </is>
      </c>
      <c r="B5" t="n">
        <v>65000</v>
      </c>
      <c r="C5" t="n">
        <v>38000</v>
      </c>
      <c r="D5">
        <f>B6-C6</f>
        <v/>
      </c>
    </row>
    <row r="6">
      <c r="A6" t="inlineStr">
        <is>
          <t>Aug</t>
        </is>
      </c>
      <c r="B6" t="n">
        <v>62000</v>
      </c>
      <c r="C6" t="n">
        <v>36000</v>
      </c>
      <c r="D6">
        <f>B9-C9</f>
        <v/>
      </c>
    </row>
    <row r="7">
      <c r="A7" t="inlineStr">
        <is>
          <t>Mar</t>
        </is>
      </c>
      <c r="B7" t="n">
        <v>60000</v>
      </c>
      <c r="C7" t="n">
        <v>35000</v>
      </c>
      <c r="D7">
        <f>B4-C4</f>
        <v/>
      </c>
    </row>
    <row r="8">
      <c r="A8" t="inlineStr">
        <is>
          <t>Jul</t>
        </is>
      </c>
      <c r="B8" t="n">
        <v>58000</v>
      </c>
      <c r="C8" t="n">
        <v>34000</v>
      </c>
      <c r="D8">
        <f>B8-C8</f>
        <v/>
      </c>
    </row>
    <row r="9">
      <c r="A9" t="inlineStr">
        <is>
          <t>Feb</t>
        </is>
      </c>
      <c r="B9" t="n">
        <v>55000</v>
      </c>
      <c r="C9" t="n">
        <v>32000</v>
      </c>
      <c r="D9">
        <f>B3-C3</f>
        <v/>
      </c>
    </row>
    <row r="10">
      <c r="A10" t="inlineStr">
        <is>
          <t>Jan</t>
        </is>
      </c>
      <c r="B10" t="n">
        <v>50000</v>
      </c>
      <c r="C10" t="n">
        <v>30000</v>
      </c>
      <c r="D10">
        <f>B2-C2</f>
        <v/>
      </c>
    </row>
    <row r="11">
      <c r="A11" t="inlineStr">
        <is>
          <t>Apr</t>
        </is>
      </c>
      <c r="B11" t="n">
        <v>48000</v>
      </c>
      <c r="C11" t="n">
        <v>28000</v>
      </c>
      <c r="D11">
        <f>B5-C5</f>
        <v/>
      </c>
    </row>
    <row r="12">
      <c r="A12" t="inlineStr">
        <is>
          <t>TOTAL</t>
        </is>
      </c>
    </row>
    <row r="13">
      <c r="B13">
        <f>SUM(B:B)</f>
        <v/>
      </c>
      <c r="C13">
        <f>SUM(C:C)</f>
        <v/>
      </c>
      <c r="D13">
        <f>SUM(D:D)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Revenue</t>
        </is>
      </c>
      <c r="B1" t="n">
        <v>623000</v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COGS (40% of Revenue)</t>
        </is>
      </c>
      <c r="B2" t="n">
        <v>249200</v>
      </c>
      <c r="C2" t="n">
        <v>30000</v>
      </c>
      <c r="D2">
        <f>B2-C2</f>
        <v/>
      </c>
    </row>
    <row r="3">
      <c r="A3" t="inlineStr">
        <is>
          <t>Gross Profit</t>
        </is>
      </c>
      <c r="B3" t="n">
        <v>373800</v>
      </c>
      <c r="C3" t="n">
        <v>32000</v>
      </c>
      <c r="D3">
        <f>B3-C3</f>
        <v/>
      </c>
    </row>
    <row r="4">
      <c r="A4" t="inlineStr">
        <is>
          <t>Operating Expenses</t>
        </is>
      </c>
      <c r="B4" t="n">
        <v>368000</v>
      </c>
      <c r="C4" t="n">
        <v>35000</v>
      </c>
      <c r="D4">
        <f>B4-C4</f>
        <v/>
      </c>
    </row>
    <row r="5">
      <c r="A5" t="inlineStr">
        <is>
          <t>EBITDA</t>
        </is>
      </c>
      <c r="B5" t="n">
        <v>5800</v>
      </c>
      <c r="C5" t="n">
        <v>28000</v>
      </c>
      <c r="D5">
        <f>B5-C5</f>
        <v/>
      </c>
    </row>
    <row r="6">
      <c r="A6" t="inlineStr">
        <is>
          <t>Depreciation</t>
        </is>
      </c>
      <c r="B6" t="n">
        <v>15000</v>
      </c>
      <c r="C6" t="n">
        <v>38000</v>
      </c>
      <c r="D6">
        <f>B6-C6</f>
        <v/>
      </c>
    </row>
    <row r="7">
      <c r="A7" t="inlineStr">
        <is>
          <t>EBIT</t>
        </is>
      </c>
      <c r="B7" t="n">
        <v>-9200</v>
      </c>
      <c r="C7" t="n">
        <v>42000</v>
      </c>
      <c r="D7">
        <f>B7-C7</f>
        <v/>
      </c>
    </row>
    <row r="8">
      <c r="A8" t="inlineStr">
        <is>
          <t>Interest</t>
        </is>
      </c>
      <c r="B8" t="n">
        <v>8000</v>
      </c>
      <c r="C8" t="n">
        <v>34000</v>
      </c>
      <c r="D8">
        <f>B8-C8</f>
        <v/>
      </c>
    </row>
    <row r="9">
      <c r="A9" t="inlineStr">
        <is>
          <t>EBT</t>
        </is>
      </c>
      <c r="B9" t="n">
        <v>-17200</v>
      </c>
      <c r="C9" t="n">
        <v>36000</v>
      </c>
      <c r="D9">
        <f>B9-C9</f>
        <v/>
      </c>
    </row>
    <row r="10">
      <c r="A10" t="inlineStr">
        <is>
          <t>Tax (30% of EBT)</t>
        </is>
      </c>
      <c r="B10" t="n">
        <v>-5160</v>
      </c>
      <c r="C10" t="n">
        <v>45000</v>
      </c>
      <c r="D10">
        <f>B10-C10</f>
        <v/>
      </c>
    </row>
    <row r="11">
      <c r="A11" t="inlineStr">
        <is>
          <t>Net Income</t>
        </is>
      </c>
      <c r="B11" t="n">
        <v>-12040</v>
      </c>
      <c r="C11" t="n">
        <v>48000</v>
      </c>
      <c r="D11">
        <f>B11-C11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Cash Flow</t>
        </is>
      </c>
      <c r="B1">
        <f>SUM(Sheet1.D:D)+50000</f>
        <v/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Capital Expenditures</t>
        </is>
      </c>
      <c r="B2" t="n">
        <v>-25000</v>
      </c>
      <c r="C2" t="n">
        <v>30000</v>
      </c>
      <c r="D2">
        <f>B2-C2</f>
        <v/>
      </c>
    </row>
    <row r="3">
      <c r="A3" t="inlineStr">
        <is>
          <t>Investing Cash Flow</t>
        </is>
      </c>
      <c r="B3" t="n">
        <v>-25000</v>
      </c>
      <c r="C3" t="n">
        <v>32000</v>
      </c>
      <c r="D3">
        <f>B3-C3</f>
        <v/>
      </c>
    </row>
    <row r="4">
      <c r="A4" t="inlineStr">
        <is>
          <t>Financing Cash Flow</t>
        </is>
      </c>
      <c r="B4" t="n">
        <v>0</v>
      </c>
      <c r="C4" t="n">
        <v>35000</v>
      </c>
      <c r="D4">
        <f>B4-C4</f>
        <v/>
      </c>
    </row>
    <row r="5">
      <c r="A5" t="inlineStr">
        <is>
          <t>Net Cash Flow</t>
        </is>
      </c>
      <c r="B5">
        <f>B1+B3+B4</f>
        <v/>
      </c>
      <c r="C5" t="n">
        <v>28000</v>
      </c>
      <c r="D5">
        <f>B5-C5</f>
        <v/>
      </c>
    </row>
    <row r="6">
      <c r="A6" t="inlineStr">
        <is>
          <t>May</t>
        </is>
      </c>
      <c r="B6" t="n">
        <v>65000</v>
      </c>
      <c r="C6" t="n">
        <v>38000</v>
      </c>
      <c r="D6">
        <f>B6-C6</f>
        <v/>
      </c>
    </row>
    <row r="7">
      <c r="A7" t="inlineStr">
        <is>
          <t>Jun</t>
        </is>
      </c>
      <c r="B7" t="n">
        <v>70000</v>
      </c>
      <c r="C7" t="n">
        <v>42000</v>
      </c>
      <c r="D7">
        <f>B7-C7</f>
        <v/>
      </c>
    </row>
    <row r="8">
      <c r="A8" t="inlineStr">
        <is>
          <t>Jul</t>
        </is>
      </c>
      <c r="B8" t="n">
        <v>58000</v>
      </c>
      <c r="C8" t="n">
        <v>34000</v>
      </c>
      <c r="D8">
        <f>B8-C8</f>
        <v/>
      </c>
    </row>
    <row r="9">
      <c r="A9" t="inlineStr">
        <is>
          <t>Aug</t>
        </is>
      </c>
      <c r="B9" t="n">
        <v>62000</v>
      </c>
      <c r="C9" t="n">
        <v>36000</v>
      </c>
      <c r="D9">
        <f>B9-C9</f>
        <v/>
      </c>
    </row>
    <row r="10">
      <c r="A10" t="inlineStr">
        <is>
          <t>Sep</t>
        </is>
      </c>
      <c r="B10" t="n">
        <v>75000</v>
      </c>
      <c r="C10" t="n">
        <v>45000</v>
      </c>
      <c r="D10">
        <f>B10-C10</f>
        <v/>
      </c>
    </row>
    <row r="11">
      <c r="A11" t="inlineStr">
        <is>
          <t>Oct</t>
        </is>
      </c>
      <c r="B11" t="n">
        <v>80000</v>
      </c>
      <c r="C11" t="n">
        <v>48000</v>
      </c>
      <c r="D11">
        <f>B11-C11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2026-04-22T14:33:54Z</dcterms:created>
  <dcterms:modified xmlns:dcterms="http://purl.org/dc/terms/" xmlns:xsi="http://www.w3.org/2001/XMLSchema-instance" xsi:type="dcterms:W3CDTF">2026-04-22T14:35:53Z</dcterms:modified>
</cp:coreProperties>
</file>