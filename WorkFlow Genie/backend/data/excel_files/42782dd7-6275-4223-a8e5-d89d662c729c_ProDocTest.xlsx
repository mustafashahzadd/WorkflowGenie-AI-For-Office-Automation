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BalanceSheet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alesReport" sheetId="6" state="visible" r:id="rId6"/>
    <sheet xmlns:r="http://schemas.openxmlformats.org/officeDocument/2006/relationships" name="Payroll" sheetId="7" state="visible" r:id="rId7"/>
    <sheet xmlns:r="http://schemas.openxmlformats.org/officeDocument/2006/relationships" name="KP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BDD7EE"/>
      <sz val="11"/>
    </font>
    <font>
      <name val="Calibri"/>
      <color rgb="00000000"/>
      <sz val="10"/>
    </font>
    <font>
      <name val="Calibri"/>
      <b val="1"/>
      <color rgb="001A1A2E"/>
      <sz val="10"/>
    </font>
    <font>
      <name val="Calibri"/>
      <b val="1"/>
      <color rgb="001E6B3C"/>
      <sz val="11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left" vertical="center" indent="1"/>
    </xf>
    <xf numFmtId="4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indent="1"/>
    </xf>
    <xf numFmtId="4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40" fontId="5" fillId="6" borderId="2" applyAlignment="1" pivotButton="0" quotePrefix="0" xfId="0">
      <alignment horizontal="right" vertical="center"/>
    </xf>
    <xf numFmtId="40" fontId="4" fillId="5" borderId="2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PROFIT &amp; LOSS STATEMENT</t>
        </is>
      </c>
      <c r="B1" s="16" t="n"/>
      <c r="C1" s="17" t="n"/>
    </row>
    <row r="2" ht="18" customHeight="1">
      <c r="A2" s="3" t="inlineStr">
        <is>
          <t>Financial Year 2026</t>
        </is>
      </c>
      <c r="B2" s="16" t="n"/>
      <c r="C2" s="17" t="n"/>
    </row>
    <row r="3" ht="6" customHeight="1">
      <c r="A3" s="4" t="n"/>
      <c r="B3" s="4" t="n"/>
      <c r="C3" s="4" t="n"/>
    </row>
    <row r="4" ht="18" customHeight="1">
      <c r="A4" s="5" t="inlineStr">
        <is>
          <t xml:space="preserve">  Revenue</t>
        </is>
      </c>
      <c r="B4" s="6" t="n">
        <v>695000</v>
      </c>
      <c r="C4" s="7" t="n"/>
    </row>
    <row r="5" ht="18" customHeight="1">
      <c r="A5" s="8" t="inlineStr">
        <is>
          <t xml:space="preserve">  Cost of Goods Sold</t>
        </is>
      </c>
      <c r="B5" s="9" t="n">
        <v>293000</v>
      </c>
      <c r="C5" s="10" t="n"/>
    </row>
    <row r="6" ht="22" customHeight="1">
      <c r="A6" s="11" t="inlineStr">
        <is>
          <t>Gross Profit</t>
        </is>
      </c>
      <c r="B6" s="12">
        <f>B4-B5</f>
        <v/>
      </c>
      <c r="C6" s="11" t="n"/>
    </row>
    <row r="7" ht="6" customHeight="1">
      <c r="A7" s="4" t="n"/>
      <c r="B7" s="4" t="n"/>
      <c r="C7" s="4" t="n"/>
    </row>
    <row r="8" ht="18" customHeight="1">
      <c r="A8" s="5" t="inlineStr">
        <is>
          <t xml:space="preserve">  Operating Expenses</t>
        </is>
      </c>
      <c r="B8" s="6" t="n">
        <v>200000</v>
      </c>
      <c r="C8" s="7" t="n"/>
    </row>
    <row r="9" ht="22" customHeight="1">
      <c r="A9" s="11" t="inlineStr">
        <is>
          <t>EBITDA</t>
        </is>
      </c>
      <c r="B9" s="12">
        <f>B6-B8</f>
        <v/>
      </c>
      <c r="C9" s="11" t="n"/>
    </row>
    <row r="10" ht="6" customHeight="1">
      <c r="A10" s="4" t="n"/>
      <c r="B10" s="4" t="n"/>
      <c r="C10" s="4" t="n"/>
    </row>
    <row r="11" ht="18" customHeight="1">
      <c r="A11" s="8" t="inlineStr">
        <is>
          <t xml:space="preserve">  Depreciation</t>
        </is>
      </c>
      <c r="B11" s="9" t="n">
        <v>11000</v>
      </c>
      <c r="C11" s="10" t="n"/>
    </row>
    <row r="12" ht="22" customHeight="1">
      <c r="A12" s="11" t="inlineStr">
        <is>
          <t>EBIT</t>
        </is>
      </c>
      <c r="B12" s="12">
        <f>B9-B11</f>
        <v/>
      </c>
      <c r="C12" s="11" t="n"/>
    </row>
    <row r="13" ht="6" customHeight="1">
      <c r="A13" s="4" t="n"/>
      <c r="B13" s="4" t="n"/>
      <c r="C13" s="4" t="n"/>
    </row>
    <row r="14" ht="18" customHeight="1">
      <c r="A14" s="5" t="inlineStr">
        <is>
          <t xml:space="preserve">  Interest Expense</t>
        </is>
      </c>
      <c r="B14" s="6" t="n">
        <v>8000</v>
      </c>
      <c r="C14" s="7" t="n"/>
    </row>
    <row r="15" ht="22" customHeight="1">
      <c r="A15" s="11" t="inlineStr">
        <is>
          <t>EBT</t>
        </is>
      </c>
      <c r="B15" s="12">
        <f>B12-B14</f>
        <v/>
      </c>
      <c r="C15" s="11" t="n"/>
    </row>
    <row r="16" ht="6" customHeight="1">
      <c r="A16" s="4" t="n"/>
      <c r="B16" s="4" t="n"/>
      <c r="C16" s="4" t="n"/>
    </row>
    <row r="17" ht="18" customHeight="1">
      <c r="A17" s="8" t="inlineStr">
        <is>
          <t xml:space="preserve">  Tax</t>
        </is>
      </c>
      <c r="B17" s="13">
        <f>ROUND(B15*0.3,0)</f>
        <v/>
      </c>
      <c r="C17" s="10" t="n"/>
    </row>
    <row r="18" ht="26" customHeight="1">
      <c r="A18" s="14" t="inlineStr">
        <is>
          <t>NET INCOME</t>
        </is>
      </c>
      <c r="B18" s="15">
        <f>B15-B17</f>
        <v/>
      </c>
      <c r="C18" s="14" t="n"/>
    </row>
    <row r="19" ht="6" customHeight="1">
      <c r="A19" s="4" t="n"/>
      <c r="B19" s="4" t="n"/>
      <c r="C19" s="4" t="n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CASH FLOW STATEMENT</t>
        </is>
      </c>
      <c r="B1" s="16" t="n"/>
      <c r="C1" s="17" t="n"/>
    </row>
    <row r="2" ht="18" customHeight="1">
      <c r="A2" s="3" t="inlineStr">
        <is>
          <t>Financial Year 2026</t>
        </is>
      </c>
      <c r="B2" s="16" t="n"/>
      <c r="C2" s="17" t="n"/>
    </row>
    <row r="3" ht="6" customHeight="1">
      <c r="A3" s="4" t="n"/>
      <c r="B3" s="4" t="n"/>
      <c r="C3" s="4" t="n"/>
    </row>
    <row r="4" ht="26" customHeight="1">
      <c r="A4" s="14" t="inlineStr">
        <is>
          <t>NET INCOME</t>
        </is>
      </c>
      <c r="B4" s="18" t="n">
        <v>32000</v>
      </c>
      <c r="C4" s="14" t="n"/>
    </row>
    <row r="5" ht="6" customHeight="1">
      <c r="A5" s="4" t="n"/>
      <c r="B5" s="4" t="n"/>
      <c r="C5" s="4" t="n"/>
    </row>
    <row r="6" ht="18" customHeight="1">
      <c r="A6" s="5" t="inlineStr">
        <is>
          <t xml:space="preserve">  Add: Depreciation</t>
        </is>
      </c>
      <c r="B6" s="6" t="n">
        <v>30000</v>
      </c>
      <c r="C6" s="7" t="n"/>
    </row>
    <row r="7" ht="18" customHeight="1">
      <c r="A7" s="8" t="inlineStr">
        <is>
          <t xml:space="preserve">  Changes in Working Capital</t>
        </is>
      </c>
      <c r="B7" s="9" t="n">
        <v>27000</v>
      </c>
      <c r="C7" s="10" t="n"/>
    </row>
    <row r="8" ht="22" customHeight="1">
      <c r="A8" s="11" t="inlineStr">
        <is>
          <t>Total Operating Cash Flow</t>
        </is>
      </c>
      <c r="B8" s="12">
        <f>B4+B6+B7</f>
        <v/>
      </c>
      <c r="C8" s="11" t="n"/>
    </row>
    <row r="9" ht="6" customHeight="1">
      <c r="A9" s="4" t="n"/>
      <c r="B9" s="4" t="n"/>
      <c r="C9" s="4" t="n"/>
    </row>
    <row r="10" ht="18" customHeight="1">
      <c r="A10" s="5" t="inlineStr">
        <is>
          <t xml:space="preserve">  Capital Expenditures</t>
        </is>
      </c>
      <c r="B10" s="6" t="n">
        <v>-110000</v>
      </c>
      <c r="C10" s="7" t="n"/>
    </row>
    <row r="11" ht="22" customHeight="1">
      <c r="A11" s="11" t="inlineStr">
        <is>
          <t>Total Investing Cash Flow</t>
        </is>
      </c>
      <c r="B11" s="12">
        <f>B10</f>
        <v/>
      </c>
      <c r="C11" s="11" t="n"/>
    </row>
    <row r="12" ht="6" customHeight="1">
      <c r="A12" s="4" t="n"/>
      <c r="B12" s="4" t="n"/>
      <c r="C12" s="4" t="n"/>
    </row>
    <row r="13" ht="22" customHeight="1">
      <c r="A13" s="11" t="inlineStr">
        <is>
          <t>Debt Financing</t>
        </is>
      </c>
      <c r="B13" s="19" t="n">
        <v>-31000</v>
      </c>
      <c r="C13" s="11" t="n"/>
    </row>
    <row r="14" ht="6" customHeight="1">
      <c r="A14" s="4" t="n"/>
      <c r="B14" s="4" t="n"/>
      <c r="C14" s="4" t="n"/>
    </row>
    <row r="15" ht="18" customHeight="1">
      <c r="A15" s="8" t="inlineStr">
        <is>
          <t xml:space="preserve">  Dividends Paid</t>
        </is>
      </c>
      <c r="B15" s="9" t="n">
        <v>-15000</v>
      </c>
      <c r="C15" s="10" t="n"/>
    </row>
    <row r="16" ht="22" customHeight="1">
      <c r="A16" s="11" t="inlineStr">
        <is>
          <t>Total Financing Cash Flow</t>
        </is>
      </c>
      <c r="B16" s="12">
        <f>B13+B15</f>
        <v/>
      </c>
      <c r="C16" s="11" t="n"/>
    </row>
    <row r="17" ht="6" customHeight="1">
      <c r="A17" s="4" t="n"/>
      <c r="B17" s="4" t="n"/>
      <c r="C17" s="4" t="n"/>
    </row>
    <row r="18" ht="26" customHeight="1">
      <c r="A18" s="14" t="inlineStr">
        <is>
          <t>NET CASH FLOW</t>
        </is>
      </c>
      <c r="B18" s="15">
        <f>B8+B11+B16</f>
        <v/>
      </c>
      <c r="C18" s="14" t="n"/>
    </row>
    <row r="19" ht="6" customHeight="1">
      <c r="A19" s="4" t="n"/>
      <c r="B19" s="4" t="n"/>
      <c r="C19" s="4" t="n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BALANCE SHEET</t>
        </is>
      </c>
      <c r="B1" s="16" t="n"/>
      <c r="C1" s="17" t="n"/>
    </row>
    <row r="2" ht="18" customHeight="1">
      <c r="A2" s="3" t="inlineStr">
        <is>
          <t>Financial Year 2026</t>
        </is>
      </c>
      <c r="B2" s="16" t="n"/>
      <c r="C2" s="17" t="n"/>
    </row>
    <row r="3" ht="6" customHeight="1">
      <c r="A3" s="4" t="n"/>
      <c r="B3" s="4" t="n"/>
      <c r="C3" s="4" t="n"/>
    </row>
    <row r="4" ht="18" customHeight="1">
      <c r="A4" s="5" t="inlineStr">
        <is>
          <t xml:space="preserve">  ASSETS</t>
        </is>
      </c>
      <c r="B4" s="6" t="n"/>
      <c r="C4" s="7" t="n"/>
    </row>
    <row r="5" ht="18" customHeight="1">
      <c r="A5" s="8" t="inlineStr">
        <is>
          <t xml:space="preserve">  Cash &amp; Equivalents</t>
        </is>
      </c>
      <c r="B5" s="9" t="n">
        <v>355000</v>
      </c>
      <c r="C5" s="10" t="n"/>
    </row>
    <row r="6" ht="18" customHeight="1">
      <c r="A6" s="5" t="inlineStr">
        <is>
          <t xml:space="preserve">  Accounts Receivable</t>
        </is>
      </c>
      <c r="B6" s="6" t="n">
        <v>223000</v>
      </c>
      <c r="C6" s="7" t="n"/>
    </row>
    <row r="7" ht="18" customHeight="1">
      <c r="A7" s="8" t="inlineStr">
        <is>
          <t xml:space="preserve">  Inventory</t>
        </is>
      </c>
      <c r="B7" s="9" t="n">
        <v>286000</v>
      </c>
      <c r="C7" s="10" t="n"/>
    </row>
    <row r="8" ht="22" customHeight="1">
      <c r="A8" s="11" t="inlineStr">
        <is>
          <t>Total Current Assets</t>
        </is>
      </c>
      <c r="B8" s="19" t="n">
        <v>864000</v>
      </c>
      <c r="C8" s="11" t="n"/>
    </row>
    <row r="9" ht="6" customHeight="1">
      <c r="A9" s="4" t="n"/>
      <c r="B9" s="4" t="n"/>
      <c r="C9" s="4" t="n"/>
    </row>
    <row r="10" ht="18" customHeight="1">
      <c r="A10" s="5" t="inlineStr">
        <is>
          <t xml:space="preserve">  Property &amp; Equipment (net)</t>
        </is>
      </c>
      <c r="B10" s="6" t="n">
        <v>721000</v>
      </c>
      <c r="C10" s="7" t="n"/>
    </row>
    <row r="11" ht="26" customHeight="1">
      <c r="A11" s="14" t="inlineStr">
        <is>
          <t>TOTAL ASSETS</t>
        </is>
      </c>
      <c r="B11" s="18" t="n">
        <v>1585000</v>
      </c>
      <c r="C11" s="14" t="n"/>
    </row>
    <row r="12" ht="6" customHeight="1">
      <c r="A12" s="4" t="n"/>
      <c r="B12" s="4" t="n"/>
      <c r="C12" s="4" t="n"/>
    </row>
    <row r="13" ht="18" customHeight="1">
      <c r="A13" s="8" t="inlineStr">
        <is>
          <t xml:space="preserve">  LIABILITIES</t>
        </is>
      </c>
      <c r="B13" s="9" t="n"/>
      <c r="C13" s="10" t="n"/>
    </row>
    <row r="14" ht="18" customHeight="1">
      <c r="A14" s="5" t="inlineStr">
        <is>
          <t xml:space="preserve">  Accounts Payable</t>
        </is>
      </c>
      <c r="B14" s="6" t="n">
        <v>28000</v>
      </c>
      <c r="C14" s="7" t="n"/>
    </row>
    <row r="15" ht="22" customHeight="1">
      <c r="A15" s="11" t="inlineStr">
        <is>
          <t>Short-term Debt</t>
        </is>
      </c>
      <c r="B15" s="19" t="n">
        <v>74000</v>
      </c>
      <c r="C15" s="11" t="n"/>
    </row>
    <row r="16" ht="6" customHeight="1">
      <c r="A16" s="4" t="n"/>
      <c r="B16" s="4" t="n"/>
      <c r="C16" s="4" t="n"/>
    </row>
    <row r="17" ht="22" customHeight="1">
      <c r="A17" s="11" t="inlineStr">
        <is>
          <t>Total Current Liabilities</t>
        </is>
      </c>
      <c r="B17" s="19" t="n">
        <v>102000</v>
      </c>
      <c r="C17" s="11" t="n"/>
    </row>
    <row r="18" ht="6" customHeight="1">
      <c r="A18" s="4" t="n"/>
      <c r="B18" s="4" t="n"/>
      <c r="C18" s="4" t="n"/>
    </row>
    <row r="19" ht="22" customHeight="1">
      <c r="A19" s="11" t="inlineStr">
        <is>
          <t>Long-term Debt</t>
        </is>
      </c>
      <c r="B19" s="19" t="n">
        <v>352000</v>
      </c>
      <c r="C19" s="11" t="n"/>
    </row>
    <row r="20" ht="6" customHeight="1">
      <c r="A20" s="4" t="n"/>
      <c r="B20" s="4" t="n"/>
      <c r="C20" s="4" t="n"/>
    </row>
    <row r="21" ht="22" customHeight="1">
      <c r="A21" s="11" t="inlineStr">
        <is>
          <t>Total Liabilities</t>
        </is>
      </c>
      <c r="B21" s="19" t="n">
        <v>454000</v>
      </c>
      <c r="C21" s="11" t="n"/>
    </row>
    <row r="22" ht="6" customHeight="1">
      <c r="A22" s="4" t="n"/>
      <c r="B22" s="4" t="n"/>
      <c r="C22" s="4" t="n"/>
    </row>
    <row r="23" ht="18" customHeight="1">
      <c r="A23" s="8" t="inlineStr">
        <is>
          <t xml:space="preserve">  EQUITY</t>
        </is>
      </c>
      <c r="B23" s="9" t="n"/>
      <c r="C23" s="10" t="n"/>
    </row>
    <row r="24" ht="18" customHeight="1">
      <c r="A24" s="5" t="inlineStr">
        <is>
          <t xml:space="preserve">  Common Stock</t>
        </is>
      </c>
      <c r="B24" s="6" t="n">
        <v>141000</v>
      </c>
      <c r="C24" s="7" t="n"/>
    </row>
    <row r="25" ht="18" customHeight="1">
      <c r="A25" s="8" t="inlineStr">
        <is>
          <t xml:space="preserve">  Retained Earnings</t>
        </is>
      </c>
      <c r="B25" s="9" t="n">
        <v>990000</v>
      </c>
      <c r="C25" s="10" t="n"/>
    </row>
    <row r="26" ht="22" customHeight="1">
      <c r="A26" s="11" t="inlineStr">
        <is>
          <t>Total Equity</t>
        </is>
      </c>
      <c r="B26" s="19" t="n">
        <v>1131000</v>
      </c>
      <c r="C26" s="11" t="n"/>
    </row>
    <row r="27" ht="6" customHeight="1">
      <c r="A27" s="4" t="n"/>
      <c r="B27" s="4" t="n"/>
      <c r="C27" s="4" t="n"/>
    </row>
    <row r="28" ht="26" customHeight="1">
      <c r="A28" s="14" t="inlineStr">
        <is>
          <t>TOTAL LIABILITIES &amp; EQUITY</t>
        </is>
      </c>
      <c r="B28" s="18" t="n">
        <v>1585000</v>
      </c>
      <c r="C28" s="14" t="n"/>
    </row>
    <row r="29" ht="6" customHeight="1">
      <c r="A29" s="4" t="n"/>
      <c r="B29" s="4" t="n"/>
      <c r="C29" s="4" t="n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 ht="30" customHeight="1">
      <c r="A1" s="1" t="inlineStr">
        <is>
          <t>BUDGET VS ACTUALS</t>
        </is>
      </c>
      <c r="B1" s="16" t="n"/>
      <c r="C1" s="16" t="n"/>
      <c r="D1" s="16" t="n"/>
      <c r="E1" s="17" t="n"/>
    </row>
    <row r="2" ht="18" customHeight="1">
      <c r="A2" s="3" t="inlineStr">
        <is>
          <t>Financial Year 2026</t>
        </is>
      </c>
      <c r="B2" s="16" t="n"/>
      <c r="C2" s="16" t="n"/>
      <c r="D2" s="16" t="n"/>
      <c r="E2" s="17" t="n"/>
    </row>
    <row r="3" ht="6" customHeight="1">
      <c r="A3" s="4" t="n"/>
      <c r="B3" s="4" t="n"/>
      <c r="C3" s="4" t="n"/>
      <c r="D3" s="4" t="n"/>
      <c r="E3" s="4" t="n"/>
    </row>
    <row r="4" ht="22" customHeight="1">
      <c r="A4" s="20" t="inlineStr">
        <is>
          <t>Category</t>
        </is>
      </c>
      <c r="B4" s="20" t="inlineStr">
        <is>
          <t>Budget</t>
        </is>
      </c>
      <c r="C4" s="20" t="inlineStr">
        <is>
          <t>Actual</t>
        </is>
      </c>
      <c r="D4" s="20" t="inlineStr">
        <is>
          <t>Variance</t>
        </is>
      </c>
      <c r="E4" s="20" t="inlineStr">
        <is>
          <t>Var %</t>
        </is>
      </c>
    </row>
    <row r="5" ht="18" customHeight="1">
      <c r="A5" s="10" t="inlineStr">
        <is>
          <t>Sales &amp; Marketing</t>
        </is>
      </c>
      <c r="B5" s="9" t="n">
        <v>85000</v>
      </c>
      <c r="C5" s="9" t="n">
        <v>100000</v>
      </c>
      <c r="D5" s="9" t="n">
        <v>15000</v>
      </c>
      <c r="E5" s="13" t="inlineStr">
        <is>
          <t>17.6%</t>
        </is>
      </c>
    </row>
    <row r="6" ht="18" customHeight="1">
      <c r="A6" s="7" t="inlineStr">
        <is>
          <t>R&amp;D</t>
        </is>
      </c>
      <c r="B6" s="6" t="n">
        <v>120000</v>
      </c>
      <c r="C6" s="6" t="n">
        <v>124000</v>
      </c>
      <c r="D6" s="6" t="n">
        <v>4000</v>
      </c>
      <c r="E6" s="21" t="inlineStr">
        <is>
          <t>3.3%</t>
        </is>
      </c>
    </row>
    <row r="7" ht="18" customHeight="1">
      <c r="A7" s="10" t="inlineStr">
        <is>
          <t>Operations</t>
        </is>
      </c>
      <c r="B7" s="9" t="n">
        <v>95000</v>
      </c>
      <c r="C7" s="9" t="n">
        <v>80000</v>
      </c>
      <c r="D7" s="9" t="n">
        <v>-15000</v>
      </c>
      <c r="E7" s="13" t="inlineStr">
        <is>
          <t>-15.8%</t>
        </is>
      </c>
    </row>
    <row r="8" ht="18" customHeight="1">
      <c r="A8" s="7" t="inlineStr">
        <is>
          <t>Human Resources</t>
        </is>
      </c>
      <c r="B8" s="6" t="n">
        <v>60000</v>
      </c>
      <c r="C8" s="6" t="n">
        <v>57000</v>
      </c>
      <c r="D8" s="6" t="n">
        <v>-3000</v>
      </c>
      <c r="E8" s="21" t="inlineStr">
        <is>
          <t>-5.0%</t>
        </is>
      </c>
    </row>
    <row r="9" ht="18" customHeight="1">
      <c r="A9" s="10" t="inlineStr">
        <is>
          <t>IT &amp; Infrastructure</t>
        </is>
      </c>
      <c r="B9" s="9" t="n">
        <v>45000</v>
      </c>
      <c r="C9" s="9" t="n">
        <v>38000</v>
      </c>
      <c r="D9" s="9" t="n">
        <v>-7000</v>
      </c>
      <c r="E9" s="13" t="inlineStr">
        <is>
          <t>-15.6%</t>
        </is>
      </c>
    </row>
    <row r="10" ht="18" customHeight="1">
      <c r="A10" s="7" t="inlineStr">
        <is>
          <t>General &amp; Admin</t>
        </is>
      </c>
      <c r="B10" s="6" t="n">
        <v>35000</v>
      </c>
      <c r="C10" s="6" t="n">
        <v>33000</v>
      </c>
      <c r="D10" s="6" t="n">
        <v>-2000</v>
      </c>
      <c r="E10" s="21" t="inlineStr">
        <is>
          <t>-5.7%</t>
        </is>
      </c>
    </row>
    <row r="11" ht="18" customHeight="1">
      <c r="A11" s="11" t="inlineStr">
        <is>
          <t>TOTAL</t>
        </is>
      </c>
      <c r="B11" s="19" t="n">
        <v>440000</v>
      </c>
      <c r="C11" s="19" t="n">
        <v>432000</v>
      </c>
      <c r="D11" s="19" t="n">
        <v>-8000</v>
      </c>
      <c r="E11" s="12" t="inlineStr">
        <is>
          <t>-1.8%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30" customHeight="1">
      <c r="A1" s="1" t="inlineStr">
        <is>
          <t>SALES REPORT</t>
        </is>
      </c>
      <c r="B1" s="16" t="n"/>
      <c r="C1" s="16" t="n"/>
      <c r="D1" s="16" t="n"/>
      <c r="E1" s="17" t="n"/>
    </row>
    <row r="2" ht="18" customHeight="1">
      <c r="A2" s="3" t="inlineStr">
        <is>
          <t>Financial Year 2026</t>
        </is>
      </c>
      <c r="B2" s="16" t="n"/>
      <c r="C2" s="16" t="n"/>
      <c r="D2" s="16" t="n"/>
      <c r="E2" s="17" t="n"/>
    </row>
    <row r="3" ht="6" customHeight="1">
      <c r="A3" s="4" t="n"/>
      <c r="B3" s="4" t="n"/>
      <c r="C3" s="4" t="n"/>
      <c r="D3" s="4" t="n"/>
      <c r="E3" s="4" t="n"/>
    </row>
    <row r="4" ht="22" customHeight="1">
      <c r="A4" s="20" t="inlineStr">
        <is>
          <t>Month</t>
        </is>
      </c>
      <c r="B4" s="20" t="inlineStr">
        <is>
          <t>Units Sold</t>
        </is>
      </c>
      <c r="C4" s="20" t="inlineStr">
        <is>
          <t>Unit Price</t>
        </is>
      </c>
      <c r="D4" s="20" t="inlineStr">
        <is>
          <t>Revenue</t>
        </is>
      </c>
      <c r="E4" s="20" t="inlineStr">
        <is>
          <t>MoM Growth</t>
        </is>
      </c>
    </row>
    <row r="5" ht="18" customHeight="1">
      <c r="A5" s="10" t="inlineStr">
        <is>
          <t>Jan</t>
        </is>
      </c>
      <c r="B5" s="13" t="n">
        <v>648</v>
      </c>
      <c r="C5" s="9" t="n">
        <v>339.81</v>
      </c>
      <c r="D5" s="9" t="n">
        <v>220197</v>
      </c>
      <c r="E5" s="13" t="inlineStr">
        <is>
          <t>—</t>
        </is>
      </c>
    </row>
    <row r="6" ht="18" customHeight="1">
      <c r="A6" s="7" t="inlineStr">
        <is>
          <t>Feb</t>
        </is>
      </c>
      <c r="B6" s="21" t="n">
        <v>1108</v>
      </c>
      <c r="C6" s="6" t="n">
        <v>305.42</v>
      </c>
      <c r="D6" s="6" t="n">
        <v>338405</v>
      </c>
      <c r="E6" s="21" t="inlineStr">
        <is>
          <t>53.7%</t>
        </is>
      </c>
    </row>
    <row r="7" ht="18" customHeight="1">
      <c r="A7" s="10" t="inlineStr">
        <is>
          <t>Mar</t>
        </is>
      </c>
      <c r="B7" s="13" t="n">
        <v>693</v>
      </c>
      <c r="C7" s="9" t="n">
        <v>358.83</v>
      </c>
      <c r="D7" s="9" t="n">
        <v>248669</v>
      </c>
      <c r="E7" s="13" t="inlineStr">
        <is>
          <t>-26.5%</t>
        </is>
      </c>
    </row>
    <row r="8" ht="18" customHeight="1">
      <c r="A8" s="7" t="inlineStr">
        <is>
          <t>Apr</t>
        </is>
      </c>
      <c r="B8" s="21" t="n">
        <v>421</v>
      </c>
      <c r="C8" s="6" t="n">
        <v>348.71</v>
      </c>
      <c r="D8" s="6" t="n">
        <v>146807</v>
      </c>
      <c r="E8" s="21" t="inlineStr">
        <is>
          <t>-41.0%</t>
        </is>
      </c>
    </row>
    <row r="9" ht="18" customHeight="1">
      <c r="A9" s="10" t="inlineStr">
        <is>
          <t>May</t>
        </is>
      </c>
      <c r="B9" s="13" t="n">
        <v>481</v>
      </c>
      <c r="C9" s="9" t="n">
        <v>455.17</v>
      </c>
      <c r="D9" s="9" t="n">
        <v>218937</v>
      </c>
      <c r="E9" s="13" t="inlineStr">
        <is>
          <t>49.1%</t>
        </is>
      </c>
    </row>
    <row r="10" ht="18" customHeight="1">
      <c r="A10" s="7" t="inlineStr">
        <is>
          <t>Jun</t>
        </is>
      </c>
      <c r="B10" s="21" t="n">
        <v>840</v>
      </c>
      <c r="C10" s="6" t="n">
        <v>126.33</v>
      </c>
      <c r="D10" s="6" t="n">
        <v>106117</v>
      </c>
      <c r="E10" s="21" t="inlineStr">
        <is>
          <t>-51.5%</t>
        </is>
      </c>
    </row>
    <row r="11" ht="18" customHeight="1">
      <c r="A11" s="10" t="inlineStr">
        <is>
          <t>Jul</t>
        </is>
      </c>
      <c r="B11" s="13" t="n">
        <v>1066</v>
      </c>
      <c r="C11" s="9" t="n">
        <v>274.01</v>
      </c>
      <c r="D11" s="9" t="n">
        <v>292095</v>
      </c>
      <c r="E11" s="13" t="inlineStr">
        <is>
          <t>175.3%</t>
        </is>
      </c>
    </row>
    <row r="12" ht="18" customHeight="1">
      <c r="A12" s="7" t="inlineStr">
        <is>
          <t>Aug</t>
        </is>
      </c>
      <c r="B12" s="21" t="n">
        <v>430</v>
      </c>
      <c r="C12" s="6" t="n">
        <v>103.13</v>
      </c>
      <c r="D12" s="6" t="n">
        <v>44346</v>
      </c>
      <c r="E12" s="21" t="inlineStr">
        <is>
          <t>-84.8%</t>
        </is>
      </c>
    </row>
    <row r="13" ht="18" customHeight="1">
      <c r="A13" s="10" t="inlineStr">
        <is>
          <t>Sep</t>
        </is>
      </c>
      <c r="B13" s="13" t="n">
        <v>396</v>
      </c>
      <c r="C13" s="9" t="n">
        <v>340.28</v>
      </c>
      <c r="D13" s="9" t="n">
        <v>134751</v>
      </c>
      <c r="E13" s="13" t="inlineStr">
        <is>
          <t>203.9%</t>
        </is>
      </c>
    </row>
    <row r="14" ht="18" customHeight="1">
      <c r="A14" s="7" t="inlineStr">
        <is>
          <t>Oct</t>
        </is>
      </c>
      <c r="B14" s="21" t="n">
        <v>1376</v>
      </c>
      <c r="C14" s="6" t="n">
        <v>108.95</v>
      </c>
      <c r="D14" s="6" t="n">
        <v>149915</v>
      </c>
      <c r="E14" s="21" t="inlineStr">
        <is>
          <t>11.3%</t>
        </is>
      </c>
    </row>
    <row r="15" ht="18" customHeight="1">
      <c r="A15" s="10" t="inlineStr">
        <is>
          <t>Nov</t>
        </is>
      </c>
      <c r="B15" s="13" t="n">
        <v>1178</v>
      </c>
      <c r="C15" s="9" t="n">
        <v>244.49</v>
      </c>
      <c r="D15" s="9" t="n">
        <v>288009</v>
      </c>
      <c r="E15" s="13" t="inlineStr">
        <is>
          <t>92.1%</t>
        </is>
      </c>
    </row>
    <row r="16" ht="18" customHeight="1">
      <c r="A16" s="7" t="inlineStr">
        <is>
          <t>Dec</t>
        </is>
      </c>
      <c r="B16" s="21" t="n">
        <v>867</v>
      </c>
      <c r="C16" s="6" t="n">
        <v>327.94</v>
      </c>
      <c r="D16" s="6" t="n">
        <v>284324</v>
      </c>
      <c r="E16" s="21" t="inlineStr">
        <is>
          <t>-1.3%</t>
        </is>
      </c>
    </row>
    <row r="17" ht="18" customHeight="1">
      <c r="A17" s="11" t="inlineStr">
        <is>
          <t>TOTAL</t>
        </is>
      </c>
      <c r="B17" s="12" t="n">
        <v>9504</v>
      </c>
      <c r="C17" s="12" t="inlineStr"/>
      <c r="D17" s="19" t="n">
        <v>2472572</v>
      </c>
      <c r="E17" s="12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PAYROLL REGISTER</t>
        </is>
      </c>
      <c r="B1" s="16" t="n"/>
      <c r="C1" s="16" t="n"/>
      <c r="D1" s="16" t="n"/>
      <c r="E1" s="16" t="n"/>
      <c r="F1" s="16" t="n"/>
      <c r="G1" s="17" t="n"/>
    </row>
    <row r="2" ht="18" customHeight="1">
      <c r="A2" s="3" t="inlineStr">
        <is>
          <t>Pay Period: April 2026</t>
        </is>
      </c>
      <c r="B2" s="16" t="n"/>
      <c r="C2" s="16" t="n"/>
      <c r="D2" s="16" t="n"/>
      <c r="E2" s="16" t="n"/>
      <c r="F2" s="16" t="n"/>
      <c r="G2" s="17" t="n"/>
    </row>
    <row r="3" ht="6" customHeight="1">
      <c r="A3" s="4" t="n"/>
      <c r="B3" s="4" t="n"/>
      <c r="C3" s="4" t="n"/>
      <c r="D3" s="4" t="n"/>
      <c r="E3" s="4" t="n"/>
      <c r="F3" s="4" t="n"/>
      <c r="G3" s="4" t="n"/>
    </row>
    <row r="4" ht="22" customHeight="1">
      <c r="A4" s="20" t="inlineStr">
        <is>
          <t>Employee</t>
        </is>
      </c>
      <c r="B4" s="20" t="inlineStr">
        <is>
          <t>Department</t>
        </is>
      </c>
      <c r="C4" s="20" t="inlineStr">
        <is>
          <t>Base Salary</t>
        </is>
      </c>
      <c r="D4" s="20" t="inlineStr">
        <is>
          <t>Bonus</t>
        </is>
      </c>
      <c r="E4" s="20" t="inlineStr">
        <is>
          <t>Gross Pay</t>
        </is>
      </c>
      <c r="F4" s="20" t="inlineStr">
        <is>
          <t>Tax (30%)</t>
        </is>
      </c>
      <c r="G4" s="20" t="inlineStr">
        <is>
          <t>Net Pay</t>
        </is>
      </c>
    </row>
    <row r="5" ht="18" customHeight="1">
      <c r="A5" s="10" t="inlineStr">
        <is>
          <t>Alice Johnson</t>
        </is>
      </c>
      <c r="B5" s="13" t="inlineStr">
        <is>
          <t>Engineering</t>
        </is>
      </c>
      <c r="C5" s="9" t="n">
        <v>95000</v>
      </c>
      <c r="D5" s="9" t="n">
        <v>9000</v>
      </c>
      <c r="E5" s="9" t="n">
        <v>104000</v>
      </c>
      <c r="F5" s="9" t="n">
        <v>31200</v>
      </c>
      <c r="G5" s="9" t="n">
        <v>72800</v>
      </c>
    </row>
    <row r="6" ht="18" customHeight="1">
      <c r="A6" s="7" t="inlineStr">
        <is>
          <t>Bob Smith</t>
        </is>
      </c>
      <c r="B6" s="21" t="inlineStr">
        <is>
          <t>Marketing</t>
        </is>
      </c>
      <c r="C6" s="6" t="n">
        <v>72000</v>
      </c>
      <c r="D6" s="6" t="n">
        <v>5000</v>
      </c>
      <c r="E6" s="6" t="n">
        <v>77000</v>
      </c>
      <c r="F6" s="6" t="n">
        <v>23100</v>
      </c>
      <c r="G6" s="6" t="n">
        <v>53900</v>
      </c>
    </row>
    <row r="7" ht="18" customHeight="1">
      <c r="A7" s="10" t="inlineStr">
        <is>
          <t>Carol Davis</t>
        </is>
      </c>
      <c r="B7" s="13" t="inlineStr">
        <is>
          <t>Finance</t>
        </is>
      </c>
      <c r="C7" s="9" t="n">
        <v>85000</v>
      </c>
      <c r="D7" s="9" t="n">
        <v>11000</v>
      </c>
      <c r="E7" s="9" t="n">
        <v>96000</v>
      </c>
      <c r="F7" s="9" t="n">
        <v>28800</v>
      </c>
      <c r="G7" s="9" t="n">
        <v>67200</v>
      </c>
    </row>
    <row r="8" ht="18" customHeight="1">
      <c r="A8" s="7" t="inlineStr">
        <is>
          <t>David Lee</t>
        </is>
      </c>
      <c r="B8" s="21" t="inlineStr">
        <is>
          <t>Engineering</t>
        </is>
      </c>
      <c r="C8" s="6" t="n">
        <v>105000</v>
      </c>
      <c r="D8" s="6" t="n">
        <v>0</v>
      </c>
      <c r="E8" s="6" t="n">
        <v>105000</v>
      </c>
      <c r="F8" s="6" t="n">
        <v>31500</v>
      </c>
      <c r="G8" s="6" t="n">
        <v>73500</v>
      </c>
    </row>
    <row r="9" ht="18" customHeight="1">
      <c r="A9" s="10" t="inlineStr">
        <is>
          <t>Eva Martinez</t>
        </is>
      </c>
      <c r="B9" s="13" t="inlineStr">
        <is>
          <t>HR</t>
        </is>
      </c>
      <c r="C9" s="9" t="n">
        <v>68000</v>
      </c>
      <c r="D9" s="9" t="n">
        <v>6000</v>
      </c>
      <c r="E9" s="9" t="n">
        <v>74000</v>
      </c>
      <c r="F9" s="9" t="n">
        <v>22200</v>
      </c>
      <c r="G9" s="9" t="n">
        <v>51800</v>
      </c>
    </row>
    <row r="10" ht="18" customHeight="1">
      <c r="A10" s="7" t="inlineStr">
        <is>
          <t>Frank Wilson</t>
        </is>
      </c>
      <c r="B10" s="21" t="inlineStr">
        <is>
          <t>Operations</t>
        </is>
      </c>
      <c r="C10" s="6" t="n">
        <v>78000</v>
      </c>
      <c r="D10" s="6" t="n">
        <v>2000</v>
      </c>
      <c r="E10" s="6" t="n">
        <v>80000</v>
      </c>
      <c r="F10" s="6" t="n">
        <v>24000</v>
      </c>
      <c r="G10" s="6" t="n">
        <v>56000</v>
      </c>
    </row>
    <row r="11" ht="18" customHeight="1">
      <c r="A11" s="11" t="inlineStr">
        <is>
          <t>TOTAL</t>
        </is>
      </c>
      <c r="B11" s="12" t="inlineStr"/>
      <c r="C11" s="19" t="n">
        <v>503000</v>
      </c>
      <c r="D11" s="19" t="n">
        <v>33000</v>
      </c>
      <c r="E11" s="19" t="n">
        <v>536000</v>
      </c>
      <c r="F11" s="19" t="n">
        <v>160800</v>
      </c>
      <c r="G11" s="19" t="n">
        <v>375200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6" customWidth="1" min="5" max="5"/>
  </cols>
  <sheetData>
    <row r="1" ht="30" customHeight="1">
      <c r="A1" s="1" t="inlineStr">
        <is>
          <t>KPI DASHBOARD</t>
        </is>
      </c>
      <c r="B1" s="2" t="n"/>
      <c r="C1" s="2" t="n"/>
      <c r="D1" s="2" t="n"/>
      <c r="E1" s="2" t="n"/>
    </row>
    <row r="2" ht="18" customHeight="1">
      <c r="A2" s="3" t="inlineStr">
        <is>
          <t>As of April 2026</t>
        </is>
      </c>
      <c r="B2" s="2" t="n"/>
      <c r="C2" s="2" t="n"/>
      <c r="D2" s="2" t="n"/>
      <c r="E2" s="2" t="n"/>
    </row>
    <row r="3" ht="6" customHeight="1">
      <c r="A3" s="4" t="n"/>
      <c r="B3" s="4" t="n"/>
      <c r="C3" s="4" t="n"/>
      <c r="D3" s="4" t="n"/>
      <c r="E3" s="4" t="n"/>
    </row>
    <row r="4" ht="22" customHeight="1">
      <c r="A4" s="20" t="inlineStr">
        <is>
          <t>KPI Metric</t>
        </is>
      </c>
      <c r="B4" s="20" t="inlineStr">
        <is>
          <t>Target</t>
        </is>
      </c>
      <c r="C4" s="20" t="inlineStr">
        <is>
          <t>Actual</t>
        </is>
      </c>
      <c r="D4" s="20" t="inlineStr">
        <is>
          <t>Variance</t>
        </is>
      </c>
      <c r="E4" s="20" t="inlineStr">
        <is>
          <t>Status</t>
        </is>
      </c>
    </row>
    <row r="5" ht="18" customHeight="1">
      <c r="A5" s="10" t="inlineStr">
        <is>
          <t>Revenue Growth</t>
        </is>
      </c>
      <c r="B5" s="13" t="inlineStr">
        <is>
          <t>15%</t>
        </is>
      </c>
      <c r="C5" s="13" t="inlineStr">
        <is>
          <t>12.2%</t>
        </is>
      </c>
      <c r="D5" s="13" t="inlineStr">
        <is>
          <t>-2.8</t>
        </is>
      </c>
      <c r="E5" s="13" t="inlineStr">
        <is>
          <t>✗ Below Target</t>
        </is>
      </c>
    </row>
    <row r="6" ht="18" customHeight="1">
      <c r="A6" s="7" t="inlineStr">
        <is>
          <t>Gross Margin</t>
        </is>
      </c>
      <c r="B6" s="21" t="inlineStr">
        <is>
          <t>60%</t>
        </is>
      </c>
      <c r="C6" s="21" t="inlineStr">
        <is>
          <t>55.5%</t>
        </is>
      </c>
      <c r="D6" s="21" t="inlineStr">
        <is>
          <t>-4.5</t>
        </is>
      </c>
      <c r="E6" s="21" t="inlineStr">
        <is>
          <t>✗ Below Target</t>
        </is>
      </c>
    </row>
    <row r="7" ht="18" customHeight="1">
      <c r="A7" s="10" t="inlineStr">
        <is>
          <t>New Customers</t>
        </is>
      </c>
      <c r="B7" s="13" t="inlineStr">
        <is>
          <t>500</t>
        </is>
      </c>
      <c r="C7" s="13" t="inlineStr">
        <is>
          <t>477</t>
        </is>
      </c>
      <c r="D7" s="13" t="inlineStr">
        <is>
          <t>-23.0</t>
        </is>
      </c>
      <c r="E7" s="13" t="inlineStr">
        <is>
          <t>✗ Below Target</t>
        </is>
      </c>
    </row>
    <row r="8" ht="18" customHeight="1">
      <c r="A8" s="7" t="inlineStr">
        <is>
          <t>Churn Rate</t>
        </is>
      </c>
      <c r="B8" s="21" t="inlineStr">
        <is>
          <t>&lt;5%</t>
        </is>
      </c>
      <c r="C8" s="21" t="inlineStr">
        <is>
          <t>4.8%</t>
        </is>
      </c>
      <c r="D8" s="21" t="inlineStr">
        <is>
          <t>-0.2</t>
        </is>
      </c>
      <c r="E8" s="21" t="inlineStr">
        <is>
          <t>✗ Below Target</t>
        </is>
      </c>
    </row>
    <row r="9" ht="18" customHeight="1">
      <c r="A9" s="10" t="inlineStr">
        <is>
          <t>NPS Score</t>
        </is>
      </c>
      <c r="B9" s="13" t="inlineStr">
        <is>
          <t>50</t>
        </is>
      </c>
      <c r="C9" s="13" t="inlineStr">
        <is>
          <t>45</t>
        </is>
      </c>
      <c r="D9" s="13" t="inlineStr">
        <is>
          <t>-5.0</t>
        </is>
      </c>
      <c r="E9" s="13" t="inlineStr">
        <is>
          <t>✗ Below Target</t>
        </is>
      </c>
    </row>
    <row r="10" ht="18" customHeight="1">
      <c r="A10" s="7" t="inlineStr">
        <is>
          <t>Employee Satisfaction</t>
        </is>
      </c>
      <c r="B10" s="21" t="inlineStr">
        <is>
          <t>4.0</t>
        </is>
      </c>
      <c r="C10" s="21" t="inlineStr">
        <is>
          <t>4.8</t>
        </is>
      </c>
      <c r="D10" s="21" t="inlineStr">
        <is>
          <t>0.8</t>
        </is>
      </c>
      <c r="E10" s="21" t="inlineStr">
        <is>
          <t>✓ On Track</t>
        </is>
      </c>
    </row>
    <row r="11" ht="18" customHeight="1">
      <c r="A11" s="10" t="inlineStr">
        <is>
          <t>Operating Cash Flow</t>
        </is>
      </c>
      <c r="B11" s="13" t="inlineStr">
        <is>
          <t>$500K</t>
        </is>
      </c>
      <c r="C11" s="13" t="inlineStr">
        <is>
          <t>$368K</t>
        </is>
      </c>
      <c r="D11" s="13" t="inlineStr">
        <is>
          <t>-132.0</t>
        </is>
      </c>
      <c r="E11" s="13" t="inlineStr">
        <is>
          <t>✗ Below Target</t>
        </is>
      </c>
    </row>
    <row r="12" ht="18" customHeight="1">
      <c r="A12" s="7" t="inlineStr">
        <is>
          <t>EBITDA Margin</t>
        </is>
      </c>
      <c r="B12" s="21" t="inlineStr">
        <is>
          <t>20%</t>
        </is>
      </c>
      <c r="C12" s="21" t="inlineStr">
        <is>
          <t>23.1%</t>
        </is>
      </c>
      <c r="D12" s="21" t="inlineStr">
        <is>
          <t>3.1</t>
        </is>
      </c>
      <c r="E12" s="21" t="inlineStr">
        <is>
          <t>✓ On Track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2026-04-22T16:16:39Z</dcterms:created>
  <dcterms:modified xmlns:dcterms="http://purl.org/dc/terms/" xmlns:xsi="http://www.w3.org/2001/XMLSchema-instance" xsi:type="dcterms:W3CDTF">2026-04-22T16:16:40Z</dcterms:modified>
</cp:coreProperties>
</file>