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nL" state="visible" r:id="rId4"/>
  </sheets>
  <calcPr calcId="171027"/>
</workbook>
</file>

<file path=xl/sharedStrings.xml><?xml version="1.0" encoding="utf-8"?>
<sst xmlns="http://schemas.openxmlformats.org/spreadsheetml/2006/main" count="45" uniqueCount="33">
  <si>
    <t>XYZ &amp; Co.</t>
  </si>
  <si>
    <t xml:space="preserve">P.O.BOX 38480, DUBAI (U.A.E.) </t>
  </si>
  <si>
    <t>STATEMENT OF PROFIT AND LOSS</t>
  </si>
  <si>
    <t>For the year ended 31 December 2024</t>
  </si>
  <si>
    <t>(in U.A.E. Dirhams)</t>
  </si>
  <si>
    <t>Notes</t>
  </si>
  <si>
    <t>31.12.2023</t>
  </si>
  <si>
    <t>31.12.2022</t>
  </si>
  <si>
    <t>Revenue</t>
  </si>
  <si>
    <t>PLR</t>
  </si>
  <si>
    <t>Less: Cost of revenue</t>
  </si>
  <si>
    <t>COR</t>
  </si>
  <si>
    <t>Gross profit</t>
  </si>
  <si>
    <t>Other income</t>
  </si>
  <si>
    <t>PLOI</t>
  </si>
  <si>
    <t>Operating income</t>
  </si>
  <si>
    <t>Operating expenses</t>
  </si>
  <si>
    <t>Salaries &amp; benefits</t>
  </si>
  <si>
    <t>PLE</t>
  </si>
  <si>
    <t>Management remuneration</t>
  </si>
  <si>
    <t>MR</t>
  </si>
  <si>
    <t>Administration &amp; selling expenses</t>
  </si>
  <si>
    <t>PLO</t>
  </si>
  <si>
    <t>Depreciation</t>
  </si>
  <si>
    <t>4 &amp; 5</t>
  </si>
  <si>
    <t>PLDR</t>
  </si>
  <si>
    <t>ACCOUNTING PROFIT FOR THE YEAR</t>
  </si>
  <si>
    <t>Income tax expense</t>
  </si>
  <si>
    <t>ITAX</t>
  </si>
  <si>
    <t>NET PROFIT FOR THE YEAR</t>
  </si>
  <si>
    <t>NPY</t>
  </si>
  <si>
    <t>Revenue 2</t>
  </si>
  <si>
    <t>same values as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</si>
</sst>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000000"/>
      <sz val="14"/>
      <name val="Arial"/>
    </font>
    <font>
      <color rgb="FF000000"/>
      <sz val="10"/>
      <name val="Calibri"/>
    </font>
    <font>
      <b/>
      <color rgb="FF000000"/>
      <sz val="12"/>
      <name val="Arial"/>
    </font>
    <font>
      <b/>
      <u/>
      <color rgb="FF000000"/>
      <sz val="12"/>
      <name val="Arial"/>
    </font>
    <font>
      <b/>
      <u/>
      <color rgb="FF000000"/>
      <sz val="11"/>
      <name val="Arial"/>
    </font>
    <font>
      <b/>
      <u/>
      <color rgb="FF0000FF"/>
      <sz val="8"/>
      <name val="Arial"/>
    </font>
    <font>
      <b/>
      <u/>
      <color rgb="FF000000"/>
      <sz val="10"/>
      <name val="Arial"/>
    </font>
    <font>
      <color rgb="FF000000"/>
      <sz val="10"/>
      <name val="Arial"/>
    </font>
    <font>
      <b/>
      <color rgb="FF000000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1"/>
  <sheetFormatPr defaultRowHeight="15" outlineLevelRow="0" outlineLevelCol="0" x14ac:dyDescent="55"/>
  <cols>
    <col min="1" max="1" width="44.5703125" customWidth="1"/>
    <col min="2" max="2" width="5.42578125" customWidth="1"/>
    <col min="3" max="3" width="13.42578125" customWidth="1"/>
    <col min="4" max="4" width="1.42578125" customWidth="1"/>
    <col min="5" max="5" width="12.140625" customWidth="1"/>
    <col min="6" max="6" width="11.42578125" customWidth="1"/>
    <col min="7" max="7" width="13.85546875" customWidth="1"/>
    <col min="8" max="8" width="9.140625" customWidth="1"/>
    <col min="9" max="9" width="22.140625" customWidth="1"/>
    <col min="10" max="10" width="9.140625" customWidth="1"/>
    <col min="11" max="17" width="8" customWidth="1"/>
    <col min="18" max="16384" width="12.5703125" customWidth="1"/>
  </cols>
  <sheetData>
    <row r="1" ht="17.25" customHeight="1" spans="1:5" x14ac:dyDescent="0.25">
      <c r="A1" s="1" t="s">
        <v>0</v>
      </c>
      <c r="B1" s="2" t="s">
        <v>0</v>
      </c>
      <c r="C1" s="2" t="s">
        <v>0</v>
      </c>
      <c r="D1" s="2" t="s">
        <v>0</v>
      </c>
      <c r="E1" s="2" t="s">
        <v>0</v>
      </c>
    </row>
    <row r="2" ht="15.75" customHeight="1" spans="1:5" x14ac:dyDescent="0.25">
      <c r="A2" s="3" t="s">
        <v>1</v>
      </c>
      <c r="B2" s="2" t="s">
        <v>1</v>
      </c>
      <c r="C2" s="2" t="s">
        <v>1</v>
      </c>
      <c r="D2" s="2" t="s">
        <v>1</v>
      </c>
      <c r="E2" s="2" t="s">
        <v>1</v>
      </c>
    </row>
    <row r="4" ht="15" customHeight="1" spans="1:5" x14ac:dyDescent="0.25">
      <c r="A4" s="4" t="s">
        <v>2</v>
      </c>
      <c r="B4" s="2" t="s">
        <v>2</v>
      </c>
      <c r="C4" s="2" t="s">
        <v>2</v>
      </c>
      <c r="D4" s="2" t="s">
        <v>2</v>
      </c>
      <c r="E4" s="2" t="s">
        <v>2</v>
      </c>
    </row>
    <row r="5" ht="13.5" customHeight="1" spans="1:1" x14ac:dyDescent="0.25">
      <c r="A5" s="5" t="s">
        <v>3</v>
      </c>
    </row>
    <row r="6" ht="9.75" customHeight="1" spans="5:5" x14ac:dyDescent="0.25">
      <c r="E6" s="6" t="s">
        <v>4</v>
      </c>
    </row>
    <row r="7" ht="16.5" customHeight="1" spans="2:5" x14ac:dyDescent="0.25">
      <c r="B7" s="7" t="s">
        <v>5</v>
      </c>
      <c r="C7" s="7" t="s">
        <v>6</v>
      </c>
      <c r="E7" s="7" t="s">
        <v>7</v>
      </c>
    </row>
    <row r="10" ht="12.75" customHeight="1" spans="1:6" x14ac:dyDescent="0.25">
      <c r="A10" s="8" t="s">
        <v>8</v>
      </c>
      <c r="C10" s="8">
        <v>4198103</v>
      </c>
      <c r="E10" s="8">
        <v>4556494</v>
      </c>
      <c r="F10" s="8" t="s">
        <v>9</v>
      </c>
    </row>
    <row r="12" ht="12.75" customHeight="1" spans="1:6" x14ac:dyDescent="0.25">
      <c r="A12" s="8" t="s">
        <v>10</v>
      </c>
      <c r="B12" s="9">
        <v>14</v>
      </c>
      <c r="C12" s="8">
        <v>971265</v>
      </c>
      <c r="E12" s="8">
        <f>+'[1]Notes to be mappedOutput'!M147</f>
      </c>
      <c r="F12" s="8" t="s">
        <v>11</v>
      </c>
    </row>
    <row r="14" ht="12.75" customHeight="1" spans="1:5" x14ac:dyDescent="0.25">
      <c r="A14" s="10" t="s">
        <v>12</v>
      </c>
      <c r="C14" s="10">
        <f>+C10-C12</f>
      </c>
      <c r="E14" s="10">
        <f>+E10-E12</f>
      </c>
    </row>
    <row r="16" ht="12.75" customHeight="1" spans="1:6" x14ac:dyDescent="0.25">
      <c r="A16" s="8" t="s">
        <v>13</v>
      </c>
      <c r="C16" s="8">
        <v>0</v>
      </c>
      <c r="E16" s="9">
        <f>-SUMIF('[1]Working trial Dec 2024'!AL:AL,PnL!C16,'[1]Working trial Dec 2024'!AK:AK)</f>
      </c>
      <c r="F16" s="8" t="s">
        <v>14</v>
      </c>
    </row>
    <row r="18" ht="12.75" customHeight="1" spans="1:5" x14ac:dyDescent="0.25">
      <c r="A18" s="10" t="s">
        <v>15</v>
      </c>
      <c r="C18" s="10">
        <v>0</v>
      </c>
      <c r="E18" s="10">
        <f>+E14+E16</f>
      </c>
    </row>
    <row r="20" ht="12.75" customHeight="1" spans="1:1" x14ac:dyDescent="0.25">
      <c r="A20" s="11" t="s">
        <v>16</v>
      </c>
    </row>
    <row r="22" ht="12.75" customHeight="1" spans="1:6" x14ac:dyDescent="0.25">
      <c r="A22" s="8" t="s">
        <v>17</v>
      </c>
      <c r="C22" s="8">
        <v>69513</v>
      </c>
      <c r="E22" s="8">
        <v>61311</v>
      </c>
      <c r="F22" s="8" t="s">
        <v>18</v>
      </c>
    </row>
    <row r="23" ht="12.75" customHeight="1" spans="1:6" x14ac:dyDescent="0.25">
      <c r="A23" s="8" t="s">
        <v>19</v>
      </c>
      <c r="C23" s="8">
        <v>309457</v>
      </c>
      <c r="E23" s="8">
        <v>310131</v>
      </c>
      <c r="F23" s="8" t="s">
        <v>20</v>
      </c>
    </row>
    <row r="24" ht="12.75" customHeight="1" spans="1:6" x14ac:dyDescent="0.25">
      <c r="A24" s="8" t="s">
        <v>21</v>
      </c>
      <c r="B24" s="9">
        <v>15</v>
      </c>
      <c r="C24" s="8">
        <v>133471</v>
      </c>
      <c r="E24" s="8">
        <f>+'[1]Notes to be mappedOutput'!M162</f>
      </c>
      <c r="F24" s="8" t="s">
        <v>22</v>
      </c>
    </row>
    <row r="25" ht="12.75" customHeight="1" spans="1:6" x14ac:dyDescent="0.25">
      <c r="A25" s="8" t="s">
        <v>23</v>
      </c>
      <c r="B25" s="9" t="s">
        <v>24</v>
      </c>
      <c r="C25" s="8">
        <v>543038</v>
      </c>
      <c r="E25" s="8">
        <f>+'[1]Notes to the FS'!V19+'[1]Notes to the FS'!T39</f>
      </c>
      <c r="F25" s="8" t="s">
        <v>25</v>
      </c>
    </row>
    <row r="27" ht="12.75" customHeight="1" spans="3:5" x14ac:dyDescent="0.25">
      <c r="C27" s="10">
        <f>SUM(C22:C25)</f>
      </c>
      <c r="E27" s="10">
        <f>SUM(E22:E25)</f>
      </c>
    </row>
    <row r="29" ht="12.75" customHeight="1" spans="1:5" x14ac:dyDescent="0.25">
      <c r="A29" s="12" t="s">
        <v>26</v>
      </c>
      <c r="C29" s="10">
        <f>C14-C27</f>
      </c>
      <c r="E29" s="10">
        <f>E18-E27</f>
      </c>
    </row>
    <row r="31" ht="12.75" customHeight="1" spans="1:6" x14ac:dyDescent="0.25">
      <c r="A31" s="8" t="s">
        <v>27</v>
      </c>
      <c r="C31" s="8">
        <v>0</v>
      </c>
      <c r="E31" s="8">
        <v>220000</v>
      </c>
      <c r="F31" s="8" t="s">
        <v>28</v>
      </c>
    </row>
    <row r="33" ht="12.75" customHeight="1" spans="1:6" x14ac:dyDescent="0.25">
      <c r="A33" s="10" t="s">
        <v>29</v>
      </c>
      <c r="C33" s="10">
        <f>+C29-C31</f>
      </c>
      <c r="E33" s="10">
        <f>+E29-E31</f>
      </c>
      <c r="F33" s="8" t="s">
        <v>30</v>
      </c>
    </row>
    <row r="871" spans="1:2" x14ac:dyDescent="0.25">
      <c r="A871" s="13" t="s">
        <v>31</v>
      </c>
      <c r="B871" s="13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PnL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2026-02-10T22:03:50Z</dcterms:created>
  <dcterms:modified xsi:type="dcterms:W3CDTF">2026-02-10T22:03:50Z</dcterms:modified>
</cp:coreProperties>
</file>