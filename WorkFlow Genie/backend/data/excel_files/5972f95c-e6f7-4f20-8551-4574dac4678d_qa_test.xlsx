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ted" sheetId="2" state="visible" r:id="rId2"/>
    <sheet xmlns:r="http://schemas.openxmlformats.org/officeDocument/2006/relationships" name="Month Comparison" sheetId="3" state="visible" r:id="rId3"/>
    <sheet xmlns:r="http://schemas.openxmlformats.org/officeDocument/2006/relationships" name="WhatIf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P&amp;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E6B3C"/>
      <sz val="10"/>
    </font>
    <font>
      <name val="Calibri"/>
      <b val="1"/>
      <color rgb="00C00000"/>
      <sz val="10"/>
    </font>
    <font>
      <name val="Calibri"/>
      <i val="1"/>
      <color rgb="002E75B6"/>
      <sz val="10"/>
    </font>
    <font>
      <name val="Calibri"/>
      <i val="1"/>
      <color rgb="00555555"/>
      <sz val="10"/>
    </font>
    <font>
      <name val="Calibri"/>
      <b val="1"/>
      <color rgb="00FFFFFF"/>
      <sz val="9"/>
    </font>
    <font>
      <name val="Calibri"/>
      <color rgb="001A1A2E"/>
      <sz val="10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color rgb="00000000"/>
      <sz val="10"/>
    </font>
    <font>
      <name val="Calibri"/>
      <b val="1"/>
      <color rgb="001A1A2E"/>
      <sz val="10"/>
    </font>
    <font>
      <name val="Calibri"/>
      <b val="1"/>
      <color rgb="001E6B3C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CAFFCC"/>
      </patternFill>
    </fill>
    <fill>
      <patternFill patternType="solid">
        <fgColor rgb="00FFC8CC"/>
      </patternFill>
    </fill>
    <fill>
      <patternFill patternType="solid">
        <fgColor rgb="00B5FFCC"/>
      </patternFill>
    </fill>
    <fill>
      <patternFill patternType="solid">
        <fgColor rgb="00FFD8CC"/>
      </patternFill>
    </fill>
    <fill>
      <patternFill patternType="solid">
        <fgColor rgb="00A0FFCC"/>
      </patternFill>
    </fill>
    <fill>
      <patternFill patternType="solid">
        <fgColor rgb="00FFE9CC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bottom style="medium"/>
    </border>
    <border>
      <right style="hair"/>
      <bottom style="hair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6" fillId="6" borderId="0" pivotButton="0" quotePrefix="0" xfId="0"/>
    <xf numFmtId="0" fontId="7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right" vertical="center"/>
    </xf>
    <xf numFmtId="3" fontId="9" fillId="7" borderId="2" applyAlignment="1" pivotButton="0" quotePrefix="0" xfId="0">
      <alignment horizontal="right" vertical="center"/>
    </xf>
    <xf numFmtId="3" fontId="5" fillId="8" borderId="2" applyAlignment="1" pivotButton="0" quotePrefix="0" xfId="0">
      <alignment horizontal="right" vertical="center"/>
    </xf>
    <xf numFmtId="3" fontId="9" fillId="9" borderId="2" applyAlignment="1" pivotButton="0" quotePrefix="0" xfId="0">
      <alignment horizontal="right" vertical="center"/>
    </xf>
    <xf numFmtId="3" fontId="9" fillId="10" borderId="2" applyAlignment="1" pivotButton="0" quotePrefix="0" xfId="0">
      <alignment horizontal="right" vertical="center"/>
    </xf>
    <xf numFmtId="3" fontId="4" fillId="11" borderId="2" applyAlignment="1" pivotButton="0" quotePrefix="0" xfId="0">
      <alignment horizontal="right" vertical="center"/>
    </xf>
    <xf numFmtId="3" fontId="9" fillId="12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4" fontId="3" fillId="6" borderId="0" pivotButton="0" quotePrefix="0" xfId="0"/>
    <xf numFmtId="0" fontId="10" fillId="2" borderId="3" applyAlignment="1" pivotButton="0" quotePrefix="0" xfId="0">
      <alignment horizontal="center" vertical="center"/>
    </xf>
    <xf numFmtId="0" fontId="0" fillId="2" borderId="0" pivotButton="0" quotePrefix="0" xfId="0"/>
    <xf numFmtId="0" fontId="11" fillId="2" borderId="3" applyAlignment="1" pivotButton="0" quotePrefix="0" xfId="0">
      <alignment horizontal="center" vertical="center"/>
    </xf>
    <xf numFmtId="0" fontId="0" fillId="4" borderId="0" pivotButton="0" quotePrefix="0" xfId="0"/>
    <xf numFmtId="0" fontId="12" fillId="4" borderId="3" applyAlignment="1" pivotButton="0" quotePrefix="0" xfId="0">
      <alignment horizontal="left" vertical="center" indent="1"/>
    </xf>
    <xf numFmtId="40" fontId="12" fillId="4" borderId="3" applyAlignment="1" pivotButton="0" quotePrefix="0" xfId="0">
      <alignment horizontal="right" vertical="center"/>
    </xf>
    <xf numFmtId="0" fontId="12" fillId="4" borderId="3" applyAlignment="1" pivotButton="0" quotePrefix="0" xfId="0">
      <alignment horizontal="left" vertical="center"/>
    </xf>
    <xf numFmtId="0" fontId="12" fillId="5" borderId="3" applyAlignment="1" pivotButton="0" quotePrefix="0" xfId="0">
      <alignment horizontal="left" vertical="center" indent="1"/>
    </xf>
    <xf numFmtId="40" fontId="12" fillId="5" borderId="3" applyAlignment="1" pivotButton="0" quotePrefix="0" xfId="0">
      <alignment horizontal="right" vertical="center"/>
    </xf>
    <xf numFmtId="0" fontId="12" fillId="5" borderId="3" applyAlignment="1" pivotButton="0" quotePrefix="0" xfId="0">
      <alignment horizontal="left" vertical="center"/>
    </xf>
    <xf numFmtId="0" fontId="13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right" vertical="center"/>
    </xf>
    <xf numFmtId="0" fontId="12" fillId="5" borderId="3" applyAlignment="1" pivotButton="0" quotePrefix="0" xfId="0">
      <alignment horizontal="right" vertical="center"/>
    </xf>
    <xf numFmtId="0" fontId="14" fillId="14" borderId="4" applyAlignment="1" pivotButton="0" quotePrefix="0" xfId="0">
      <alignment horizontal="left" vertical="center"/>
    </xf>
    <xf numFmtId="0" fontId="14" fillId="14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WF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'Sales'!E1</f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prstDash val="solid"/>
            </a:ln>
          </spPr>
          <cat>
            <numRef>
              <f>'Sales'!$H$2:$H$6</f>
            </numRef>
          </cat>
          <val>
            <numRef>
              <f>'Sales'!$E$2:$E$6</f>
            </numRef>
          </val>
        </ser>
        <ser>
          <idx val="1"/>
          <order val="1"/>
          <tx>
            <strRef>
              <f>'Sales'!F1</f>
            </strRef>
          </tx>
          <spPr>
            <a:solidFill xmlns:a="http://schemas.openxmlformats.org/drawingml/2006/main">
              <a:srgbClr val="1E6B3C"/>
            </a:solidFill>
            <a:ln xmlns:a="http://schemas.openxmlformats.org/drawingml/2006/main">
              <a:prstDash val="solid"/>
            </a:ln>
          </spPr>
          <cat>
            <numRef>
              <f>'Sales'!$H$2:$H$6</f>
            </numRef>
          </cat>
          <val>
            <numRef>
              <f>'Sales'!$F$2:$F$6</f>
            </numRef>
          </val>
        </ser>
        <ser>
          <idx val="2"/>
          <order val="2"/>
          <tx>
            <strRef>
              <f>'Sales'!G1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'Sales'!$H$2:$H$6</f>
            </numRef>
          </cat>
          <val>
            <numRef>
              <f>'Sales'!$G$2:$G$6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</a:t>
            </a:r>
          </a:p>
        </rich>
      </tx>
    </title>
    <plotArea>
      <areaChart>
        <grouping val="standar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'Sales'!$A$2:$A$6</f>
            </numRef>
          </cat>
          <val>
            <numRef>
              <f>'Sales'!$B$2:$B$6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fill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'Sales'!$A$2:$A$6</f>
            </numRef>
          </cat>
          <val>
            <numRef>
              <f>'Sales'!$B$2:$B$6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'Sales'!$K$2:$K$11</f>
            </numRef>
          </cat>
          <val>
            <numRef>
              <f>'Sales'!$L$2:$L$11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0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0</row>
      <rowOff>0</rowOff>
    </from>
    <ext cx="720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E1" t="inlineStr">
        <is>
          <t>_Base</t>
        </is>
      </c>
      <c r="F1" t="inlineStr">
        <is>
          <t>Increase</t>
        </is>
      </c>
      <c r="G1" t="inlineStr">
        <is>
          <t>Decrease</t>
        </is>
      </c>
      <c r="H1" t="inlineStr">
        <is>
          <t>_Label</t>
        </is>
      </c>
      <c r="I1" s="23" t="inlineStr">
        <is>
          <t>Running Total</t>
        </is>
      </c>
      <c r="K1" t="inlineStr">
        <is>
          <t>Bin</t>
        </is>
      </c>
      <c r="L1" t="inlineStr">
        <is>
          <t>Frequency</t>
        </is>
      </c>
    </row>
    <row r="2" outlineLevel="1">
      <c r="A2" t="inlineStr">
        <is>
          <t>Jan</t>
        </is>
      </c>
      <c r="B2" t="n">
        <v>50000</v>
      </c>
      <c r="C2" t="n">
        <v>30000</v>
      </c>
      <c r="E2" t="n">
        <v>0</v>
      </c>
      <c r="F2" t="n">
        <v>50000</v>
      </c>
      <c r="G2" t="n">
        <v>0</v>
      </c>
      <c r="H2" t="inlineStr">
        <is>
          <t>Jan</t>
        </is>
      </c>
      <c r="I2" s="24" t="n">
        <v>50000</v>
      </c>
      <c r="K2" t="inlineStr">
        <is>
          <t>50000.0–53000.0</t>
        </is>
      </c>
      <c r="L2" t="n">
        <v>1</v>
      </c>
    </row>
    <row r="3" outlineLevel="1">
      <c r="A3" t="inlineStr">
        <is>
          <t>Feb</t>
        </is>
      </c>
      <c r="B3" t="n">
        <v>60000</v>
      </c>
      <c r="C3" t="n">
        <v>32000</v>
      </c>
      <c r="E3" t="n">
        <v>50000</v>
      </c>
      <c r="F3" t="n">
        <v>60000</v>
      </c>
      <c r="G3" t="n">
        <v>0</v>
      </c>
      <c r="H3" t="inlineStr">
        <is>
          <t>Feb</t>
        </is>
      </c>
      <c r="I3" s="24" t="n">
        <v>110000</v>
      </c>
      <c r="K3" t="inlineStr">
        <is>
          <t>53000.0–56000.0</t>
        </is>
      </c>
      <c r="L3" t="n">
        <v>1</v>
      </c>
    </row>
    <row r="4" outlineLevel="1">
      <c r="A4" t="inlineStr">
        <is>
          <t>Mar</t>
        </is>
      </c>
      <c r="B4" t="n">
        <v>55000</v>
      </c>
      <c r="C4" t="n">
        <v>31000</v>
      </c>
      <c r="E4" t="n">
        <v>110000</v>
      </c>
      <c r="F4" t="n">
        <v>55000</v>
      </c>
      <c r="G4" t="n">
        <v>0</v>
      </c>
      <c r="H4" t="inlineStr">
        <is>
          <t>Mar</t>
        </is>
      </c>
      <c r="I4" s="24" t="n">
        <v>165000</v>
      </c>
      <c r="K4" t="inlineStr">
        <is>
          <t>56000.0–59000.0</t>
        </is>
      </c>
      <c r="L4" t="n">
        <v>0</v>
      </c>
    </row>
    <row r="5">
      <c r="A5" t="inlineStr">
        <is>
          <t>Apr</t>
        </is>
      </c>
      <c r="B5" t="n">
        <v>70000</v>
      </c>
      <c r="C5" t="n">
        <v>35000</v>
      </c>
      <c r="E5" t="n">
        <v>165000</v>
      </c>
      <c r="F5" t="n">
        <v>70000</v>
      </c>
      <c r="G5" t="n">
        <v>0</v>
      </c>
      <c r="H5" t="inlineStr">
        <is>
          <t>Apr</t>
        </is>
      </c>
      <c r="I5" s="24" t="n">
        <v>235000</v>
      </c>
      <c r="K5" t="inlineStr">
        <is>
          <t>59000.0–62000.0</t>
        </is>
      </c>
      <c r="L5" t="n">
        <v>1</v>
      </c>
    </row>
    <row r="6">
      <c r="A6" t="inlineStr">
        <is>
          <t>May</t>
        </is>
      </c>
      <c r="B6" t="n">
        <v>80000</v>
      </c>
      <c r="C6" t="n">
        <v>38000</v>
      </c>
      <c r="E6" t="n">
        <v>235000</v>
      </c>
      <c r="F6" t="n">
        <v>80000</v>
      </c>
      <c r="G6" t="n">
        <v>0</v>
      </c>
      <c r="H6" t="inlineStr">
        <is>
          <t>May</t>
        </is>
      </c>
      <c r="I6" s="24" t="n">
        <v>315000</v>
      </c>
      <c r="K6" t="inlineStr">
        <is>
          <t>62000.0–65000.0</t>
        </is>
      </c>
      <c r="L6" t="n">
        <v>0</v>
      </c>
    </row>
    <row r="7">
      <c r="A7" t="inlineStr">
        <is>
          <t>Jun (F)</t>
        </is>
      </c>
      <c r="B7" s="12" t="n">
        <v>84000</v>
      </c>
      <c r="I7" s="24" t="n">
        <v>399000</v>
      </c>
      <c r="K7" t="inlineStr">
        <is>
          <t>65000.0–68000.0</t>
        </is>
      </c>
      <c r="L7" t="n">
        <v>0</v>
      </c>
    </row>
    <row r="8">
      <c r="A8" t="inlineStr">
        <is>
          <t>Jul (F)</t>
        </is>
      </c>
      <c r="B8" s="12" t="n">
        <v>91000</v>
      </c>
      <c r="I8" s="24" t="n">
        <v>490000</v>
      </c>
      <c r="K8" t="inlineStr">
        <is>
          <t>68000.0–71000.0</t>
        </is>
      </c>
      <c r="L8" t="n">
        <v>1</v>
      </c>
    </row>
    <row r="9">
      <c r="A9" t="inlineStr">
        <is>
          <t>Aug (F)</t>
        </is>
      </c>
      <c r="B9" s="12" t="n">
        <v>98000</v>
      </c>
      <c r="I9" s="24" t="n">
        <v>588000</v>
      </c>
      <c r="K9" t="inlineStr">
        <is>
          <t>71000.0–74000.0</t>
        </is>
      </c>
      <c r="L9" t="n">
        <v>0</v>
      </c>
    </row>
    <row r="10">
      <c r="K10" t="inlineStr">
        <is>
          <t>74000.0–77000.0</t>
        </is>
      </c>
      <c r="L10" t="n">
        <v>0</v>
      </c>
    </row>
    <row r="11">
      <c r="K11" t="inlineStr">
        <is>
          <t>77000.0–80000.0</t>
        </is>
      </c>
      <c r="L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t="inlineStr">
        <is>
          <t>2024-01-31</t>
        </is>
      </c>
      <c r="B2" t="n">
        <v>45000</v>
      </c>
    </row>
    <row r="3">
      <c r="A3" t="inlineStr">
        <is>
          <t>2024-02-28</t>
        </is>
      </c>
      <c r="B3" t="n">
        <v>52000</v>
      </c>
    </row>
    <row r="4">
      <c r="A4" t="inlineStr">
        <is>
          <t>2024-03-31</t>
        </is>
      </c>
      <c r="B4" t="n">
        <v>61000</v>
      </c>
    </row>
    <row r="5">
      <c r="A5" t="inlineStr">
        <is>
          <t>2024-04-30</t>
        </is>
      </c>
      <c r="B5" t="n">
        <v>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</cols>
  <sheetData>
    <row r="1" ht="28" customHeight="1">
      <c r="A1" s="1" t="inlineStr">
        <is>
          <t>Month-over-Month | Sales</t>
        </is>
      </c>
    </row>
    <row r="2">
      <c r="A2" s="2" t="inlineStr">
        <is>
          <t>Period</t>
        </is>
      </c>
      <c r="B2" s="2" t="inlineStr">
        <is>
          <t>Sum</t>
        </is>
      </c>
      <c r="C2" s="2" t="inlineStr">
        <is>
          <t>Count</t>
        </is>
      </c>
      <c r="D2" s="2" t="inlineStr">
        <is>
          <t>Growth %</t>
        </is>
      </c>
    </row>
    <row r="3">
      <c r="A3" s="3" t="inlineStr">
        <is>
          <t>2024-01</t>
        </is>
      </c>
      <c r="B3" s="4" t="n">
        <v>45000</v>
      </c>
      <c r="C3" s="5" t="n">
        <v>1</v>
      </c>
      <c r="D3" s="5" t="inlineStr">
        <is>
          <t>—</t>
        </is>
      </c>
    </row>
    <row r="4">
      <c r="A4" s="6" t="inlineStr">
        <is>
          <t>2024-02</t>
        </is>
      </c>
      <c r="B4" s="7" t="n">
        <v>52000</v>
      </c>
      <c r="C4" s="8" t="n">
        <v>1</v>
      </c>
      <c r="D4" s="9" t="inlineStr">
        <is>
          <t>+15.6%</t>
        </is>
      </c>
    </row>
    <row r="5">
      <c r="A5" s="3" t="inlineStr">
        <is>
          <t>2024-03</t>
        </is>
      </c>
      <c r="B5" s="4" t="n">
        <v>61000</v>
      </c>
      <c r="C5" s="5" t="n">
        <v>1</v>
      </c>
      <c r="D5" s="10" t="inlineStr">
        <is>
          <t>+17.3%</t>
        </is>
      </c>
    </row>
    <row r="6">
      <c r="A6" s="6" t="inlineStr">
        <is>
          <t>2024-04</t>
        </is>
      </c>
      <c r="B6" s="7" t="n">
        <v>58000</v>
      </c>
      <c r="C6" s="8" t="n">
        <v>1</v>
      </c>
      <c r="D6" s="11" t="inlineStr">
        <is>
          <t>-4.9%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 ht="28" customHeight="1">
      <c r="A1" s="1" t="inlineStr">
        <is>
          <t>What-If: Price*Units = f(Price, Units)</t>
        </is>
      </c>
    </row>
    <row r="2">
      <c r="A2" s="13" t="inlineStr">
        <is>
          <t>Rows: Price   |   Columns: Units</t>
        </is>
      </c>
    </row>
    <row r="3" ht="30" customHeight="1">
      <c r="A3" s="14" t="inlineStr">
        <is>
          <t>Price \ Units</t>
        </is>
      </c>
      <c r="B3" s="15" t="n">
        <v>500</v>
      </c>
      <c r="C3" s="15" t="n">
        <v>1000</v>
      </c>
    </row>
    <row r="4">
      <c r="A4" s="16" t="n">
        <v>100</v>
      </c>
      <c r="B4" s="17" t="n">
        <v>-400</v>
      </c>
      <c r="C4" s="18" t="n">
        <v>-900</v>
      </c>
    </row>
    <row r="5">
      <c r="A5" s="16" t="n">
        <v>150</v>
      </c>
      <c r="B5" s="19" t="n">
        <v>-350</v>
      </c>
      <c r="C5" s="20" t="n">
        <v>-850</v>
      </c>
    </row>
    <row r="6">
      <c r="A6" s="16" t="n">
        <v>200</v>
      </c>
      <c r="B6" s="21" t="n">
        <v>-300</v>
      </c>
      <c r="C6" s="22" t="n">
        <v>-800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>
        <f>SUM(Sales!B2:B6)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25" t="inlineStr">
        <is>
          <t>PROFIT &amp; LOSS STATEMENT</t>
        </is>
      </c>
      <c r="B1" s="26" t="n"/>
      <c r="C1" s="26" t="n"/>
    </row>
    <row r="2" ht="18" customHeight="1">
      <c r="A2" s="27" t="inlineStr">
        <is>
          <t>Financial Year 2026</t>
        </is>
      </c>
      <c r="B2" s="26" t="n"/>
      <c r="C2" s="26" t="n"/>
    </row>
    <row r="3" ht="6" customHeight="1">
      <c r="A3" s="28" t="n"/>
      <c r="B3" s="28" t="n"/>
      <c r="C3" s="28" t="n"/>
    </row>
    <row r="4" ht="18" customHeight="1">
      <c r="A4" s="29" t="inlineStr">
        <is>
          <t xml:space="preserve">  Revenue</t>
        </is>
      </c>
      <c r="B4" s="30" t="n">
        <v>756000</v>
      </c>
      <c r="C4" s="31" t="n"/>
    </row>
    <row r="5" ht="18" customHeight="1">
      <c r="A5" s="32" t="inlineStr">
        <is>
          <t xml:space="preserve">  Cost of Goods Sold</t>
        </is>
      </c>
      <c r="B5" s="33" t="n">
        <v>292000</v>
      </c>
      <c r="C5" s="34" t="n"/>
    </row>
    <row r="6" ht="22" customHeight="1">
      <c r="A6" s="35" t="inlineStr">
        <is>
          <t>Gross Profit</t>
        </is>
      </c>
      <c r="B6" s="36">
        <f>B4-B5</f>
        <v/>
      </c>
      <c r="C6" s="35" t="n"/>
    </row>
    <row r="7" ht="6" customHeight="1">
      <c r="A7" s="28" t="n"/>
      <c r="B7" s="28" t="n"/>
      <c r="C7" s="28" t="n"/>
    </row>
    <row r="8" ht="18" customHeight="1">
      <c r="A8" s="29" t="inlineStr">
        <is>
          <t xml:space="preserve">  Operating Expenses</t>
        </is>
      </c>
      <c r="B8" s="30" t="n">
        <v>272000</v>
      </c>
      <c r="C8" s="31" t="n"/>
    </row>
    <row r="9" ht="22" customHeight="1">
      <c r="A9" s="35" t="inlineStr">
        <is>
          <t>EBITDA</t>
        </is>
      </c>
      <c r="B9" s="36">
        <f>B6-B8</f>
        <v/>
      </c>
      <c r="C9" s="35" t="n"/>
    </row>
    <row r="10" ht="6" customHeight="1">
      <c r="A10" s="28" t="n"/>
      <c r="B10" s="28" t="n"/>
      <c r="C10" s="28" t="n"/>
    </row>
    <row r="11" ht="18" customHeight="1">
      <c r="A11" s="32" t="inlineStr">
        <is>
          <t xml:space="preserve">  Depreciation</t>
        </is>
      </c>
      <c r="B11" s="33" t="n">
        <v>15000</v>
      </c>
      <c r="C11" s="34" t="n"/>
    </row>
    <row r="12" ht="22" customHeight="1">
      <c r="A12" s="35" t="inlineStr">
        <is>
          <t>EBIT</t>
        </is>
      </c>
      <c r="B12" s="36">
        <f>B9-B11</f>
        <v/>
      </c>
      <c r="C12" s="35" t="n"/>
    </row>
    <row r="13" ht="6" customHeight="1">
      <c r="A13" s="28" t="n"/>
      <c r="B13" s="28" t="n"/>
      <c r="C13" s="28" t="n"/>
    </row>
    <row r="14" ht="18" customHeight="1">
      <c r="A14" s="29" t="inlineStr">
        <is>
          <t xml:space="preserve">  Interest Expense</t>
        </is>
      </c>
      <c r="B14" s="30" t="n">
        <v>11000</v>
      </c>
      <c r="C14" s="31" t="n"/>
    </row>
    <row r="15" ht="22" customHeight="1">
      <c r="A15" s="35" t="inlineStr">
        <is>
          <t>EBT</t>
        </is>
      </c>
      <c r="B15" s="36">
        <f>B12-B14</f>
        <v/>
      </c>
      <c r="C15" s="35" t="n"/>
    </row>
    <row r="16" ht="6" customHeight="1">
      <c r="A16" s="28" t="n"/>
      <c r="B16" s="28" t="n"/>
      <c r="C16" s="28" t="n"/>
    </row>
    <row r="17" ht="18" customHeight="1">
      <c r="A17" s="32" t="inlineStr">
        <is>
          <t xml:space="preserve">  Tax</t>
        </is>
      </c>
      <c r="B17" s="37">
        <f>ROUND(B15*0.3,0)</f>
        <v/>
      </c>
      <c r="C17" s="34" t="n"/>
    </row>
    <row r="18" ht="26" customHeight="1">
      <c r="A18" s="38" t="inlineStr">
        <is>
          <t>NET INCOME</t>
        </is>
      </c>
      <c r="B18" s="39">
        <f>B15-B17</f>
        <v/>
      </c>
      <c r="C18" s="38" t="n"/>
    </row>
    <row r="19" ht="6" customHeight="1">
      <c r="A19" s="28" t="n"/>
      <c r="B19" s="28" t="n"/>
      <c r="C19" s="28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2026-04-23T11:08:41Z</dcterms:created>
  <dcterms:modified xmlns:dcterms="http://purl.org/dc/terms/" xmlns:xsi="http://www.w3.org/2001/XMLSchema-instance" xsi:type="dcterms:W3CDTF">2026-04-23T11:08:42Z</dcterms:modified>
</cp:coreProperties>
</file>