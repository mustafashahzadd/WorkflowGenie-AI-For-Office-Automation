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Cashflow" sheetId="3" state="visible" r:id="rId3"/>
    <sheet xmlns:r="http://schemas.openxmlformats.org/officeDocument/2006/relationships" name="PnL_from_Sheet1" sheetId="4" state="visible" r:id="rId4"/>
    <sheet xmlns:r="http://schemas.openxmlformats.org/officeDocument/2006/relationships" name="BalanceSheet" sheetId="5" state="visible" r:id="rId5"/>
    <sheet xmlns:r="http://schemas.openxmlformats.org/officeDocument/2006/relationships" name="Budget" sheetId="6" state="visible" r:id="rId6"/>
    <sheet xmlns:r="http://schemas.openxmlformats.org/officeDocument/2006/relationships" name="Payroll" sheetId="7" state="visible" r:id="rId7"/>
    <sheet xmlns:r="http://schemas.openxmlformats.org/officeDocument/2006/relationships" name="pnl_shared" sheetId="8" state="visible" r:id="rId8"/>
    <sheet xmlns:r="http://schemas.openxmlformats.org/officeDocument/2006/relationships" name="cashflow_shared" sheetId="9" state="visible" r:id="rId9"/>
    <sheet xmlns:r="http://schemas.openxmlformats.org/officeDocument/2006/relationships" name="cashflow_from_src" sheetId="10" state="visible" r:id="rId10"/>
    <sheet xmlns:r="http://schemas.openxmlformats.org/officeDocument/2006/relationships" name="balance_sheet_from_sr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BDD7EE"/>
      <sz val="11"/>
    </font>
    <font>
      <name val="Calibri"/>
      <color rgb="00000000"/>
      <sz val="10"/>
    </font>
    <font>
      <name val="Calibri"/>
      <b val="1"/>
      <color rgb="001A1A2E"/>
      <sz val="10"/>
    </font>
    <font>
      <name val="Calibri"/>
      <b val="1"/>
      <color rgb="001E6B3C"/>
      <sz val="11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1" applyAlignment="1" pivotButton="0" quotePrefix="0" xfId="0">
      <alignment horizontal="left" vertical="center" indent="1"/>
    </xf>
    <xf numFmtId="4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indent="1"/>
    </xf>
    <xf numFmtId="4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40" fontId="5" fillId="6" borderId="2" applyAlignment="1" pivotButton="0" quotePrefix="0" xfId="0">
      <alignment horizontal="right" vertical="center"/>
    </xf>
    <xf numFmtId="40" fontId="4" fillId="5" borderId="2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n">
        <v>850000</v>
      </c>
    </row>
    <row r="2">
      <c r="A2" t="inlineStr">
        <is>
          <t>Cost of Goods Sold</t>
        </is>
      </c>
      <c r="B2" t="n">
        <v>340000</v>
      </c>
    </row>
    <row r="3">
      <c r="A3" t="inlineStr">
        <is>
          <t>Gross Profit</t>
        </is>
      </c>
      <c r="B3" t="n">
        <v>510000</v>
      </c>
    </row>
    <row r="4">
      <c r="A4" t="inlineStr">
        <is>
          <t>Operating Expenses</t>
        </is>
      </c>
      <c r="B4" t="n">
        <v>280000</v>
      </c>
    </row>
    <row r="5">
      <c r="A5" t="inlineStr">
        <is>
          <t>EBITDA</t>
        </is>
      </c>
      <c r="B5" t="n">
        <v>230000</v>
      </c>
    </row>
    <row r="6">
      <c r="A6" t="inlineStr">
        <is>
          <t>Depreciation</t>
        </is>
      </c>
      <c r="B6" t="n">
        <v>18000</v>
      </c>
    </row>
    <row r="7">
      <c r="A7" t="inlineStr">
        <is>
          <t>Net Income</t>
        </is>
      </c>
      <c r="B7" t="n">
        <v>212000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</cols>
  <sheetData>
    <row r="1" ht="30" customHeight="1">
      <c r="A1" s="1" t="inlineStr">
        <is>
          <t>PROFIT &amp; LOSS STATEMENT</t>
        </is>
      </c>
      <c r="B1" s="16" t="n"/>
      <c r="C1" s="17" t="n"/>
    </row>
    <row r="2" ht="18" customHeight="1">
      <c r="A2" s="3" t="inlineStr">
        <is>
          <t>Financial Year 2026</t>
        </is>
      </c>
      <c r="B2" s="16" t="n"/>
      <c r="C2" s="17" t="n"/>
    </row>
    <row r="3" ht="6" customHeight="1">
      <c r="A3" s="4" t="n"/>
      <c r="B3" s="4" t="n"/>
      <c r="C3" s="4" t="n"/>
    </row>
    <row r="4" ht="18" customHeight="1">
      <c r="A4" s="5" t="inlineStr">
        <is>
          <t xml:space="preserve">  Revenue</t>
        </is>
      </c>
      <c r="B4" s="6" t="n">
        <v>784000</v>
      </c>
      <c r="C4" s="7" t="n"/>
    </row>
    <row r="5" ht="18" customHeight="1">
      <c r="A5" s="8" t="inlineStr">
        <is>
          <t xml:space="preserve">  Cost of Goods Sold</t>
        </is>
      </c>
      <c r="B5" s="9" t="n">
        <v>291000</v>
      </c>
      <c r="C5" s="10" t="n"/>
    </row>
    <row r="6" ht="22" customHeight="1">
      <c r="A6" s="11" t="inlineStr">
        <is>
          <t>Gross Profit</t>
        </is>
      </c>
      <c r="B6" s="12">
        <f>B4-B5</f>
        <v/>
      </c>
      <c r="C6" s="11" t="n"/>
    </row>
    <row r="7" ht="6" customHeight="1">
      <c r="A7" s="4" t="n"/>
      <c r="B7" s="4" t="n"/>
      <c r="C7" s="4" t="n"/>
    </row>
    <row r="8" ht="18" customHeight="1">
      <c r="A8" s="5" t="inlineStr">
        <is>
          <t xml:space="preserve">  Operating Expenses</t>
        </is>
      </c>
      <c r="B8" s="6" t="n">
        <v>299000</v>
      </c>
      <c r="C8" s="7" t="n"/>
    </row>
    <row r="9" ht="22" customHeight="1">
      <c r="A9" s="11" t="inlineStr">
        <is>
          <t>EBITDA</t>
        </is>
      </c>
      <c r="B9" s="12">
        <f>B6-B8</f>
        <v/>
      </c>
      <c r="C9" s="11" t="n"/>
    </row>
    <row r="10" ht="6" customHeight="1">
      <c r="A10" s="4" t="n"/>
      <c r="B10" s="4" t="n"/>
      <c r="C10" s="4" t="n"/>
    </row>
    <row r="11" ht="18" customHeight="1">
      <c r="A11" s="8" t="inlineStr">
        <is>
          <t xml:space="preserve">  Depreciation</t>
        </is>
      </c>
      <c r="B11" s="9" t="n">
        <v>21000</v>
      </c>
      <c r="C11" s="10" t="n"/>
    </row>
    <row r="12" ht="22" customHeight="1">
      <c r="A12" s="11" t="inlineStr">
        <is>
          <t>EBIT</t>
        </is>
      </c>
      <c r="B12" s="12">
        <f>B9-B11</f>
        <v/>
      </c>
      <c r="C12" s="11" t="n"/>
    </row>
    <row r="13" ht="6" customHeight="1">
      <c r="A13" s="4" t="n"/>
      <c r="B13" s="4" t="n"/>
      <c r="C13" s="4" t="n"/>
    </row>
    <row r="14" ht="18" customHeight="1">
      <c r="A14" s="5" t="inlineStr">
        <is>
          <t xml:space="preserve">  Interest Expense</t>
        </is>
      </c>
      <c r="B14" s="6" t="n">
        <v>10000</v>
      </c>
      <c r="C14" s="7" t="n"/>
    </row>
    <row r="15" ht="22" customHeight="1">
      <c r="A15" s="11" t="inlineStr">
        <is>
          <t>EBT</t>
        </is>
      </c>
      <c r="B15" s="12">
        <f>B12-B14</f>
        <v/>
      </c>
      <c r="C15" s="11" t="n"/>
    </row>
    <row r="16" ht="6" customHeight="1">
      <c r="A16" s="4" t="n"/>
      <c r="B16" s="4" t="n"/>
      <c r="C16" s="4" t="n"/>
    </row>
    <row r="17" ht="18" customHeight="1">
      <c r="A17" s="8" t="inlineStr">
        <is>
          <t xml:space="preserve">  Tax</t>
        </is>
      </c>
      <c r="B17" s="13">
        <f>ROUND(B15*0.3,0)</f>
        <v/>
      </c>
      <c r="C17" s="10" t="n"/>
    </row>
    <row r="18" ht="26" customHeight="1">
      <c r="A18" s="14" t="inlineStr">
        <is>
          <t>NET INCOME</t>
        </is>
      </c>
      <c r="B18" s="15">
        <f>B15-B17</f>
        <v/>
      </c>
      <c r="C18" s="14" t="n"/>
    </row>
    <row r="19" ht="6" customHeight="1">
      <c r="A19" s="4" t="n"/>
      <c r="B19" s="4" t="n"/>
      <c r="C19" s="4" t="n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</cols>
  <sheetData>
    <row r="1" ht="30" customHeight="1">
      <c r="A1" s="1" t="inlineStr">
        <is>
          <t>CASH FLOW STATEMENT</t>
        </is>
      </c>
      <c r="B1" s="16" t="n"/>
      <c r="C1" s="17" t="n"/>
    </row>
    <row r="2" ht="18" customHeight="1">
      <c r="A2" s="3" t="inlineStr">
        <is>
          <t>2024</t>
        </is>
      </c>
      <c r="B2" s="16" t="n"/>
      <c r="C2" s="17" t="n"/>
    </row>
    <row r="3" ht="6" customHeight="1">
      <c r="A3" s="4" t="n"/>
      <c r="B3" s="4" t="n"/>
      <c r="C3" s="4" t="n"/>
    </row>
    <row r="4" ht="26" customHeight="1">
      <c r="A4" s="14" t="inlineStr">
        <is>
          <t>NET INCOME</t>
        </is>
      </c>
      <c r="B4" s="18" t="n">
        <v>212000</v>
      </c>
      <c r="C4" s="14" t="n"/>
    </row>
    <row r="5" ht="6" customHeight="1">
      <c r="A5" s="4" t="n"/>
      <c r="B5" s="4" t="n"/>
      <c r="C5" s="4" t="n"/>
    </row>
    <row r="6" ht="18" customHeight="1">
      <c r="A6" s="5" t="inlineStr">
        <is>
          <t xml:space="preserve">  Add: Depreciation</t>
        </is>
      </c>
      <c r="B6" s="6" t="n">
        <v>18000</v>
      </c>
      <c r="C6" s="7" t="n"/>
    </row>
    <row r="7" ht="18" customHeight="1">
      <c r="A7" s="8" t="inlineStr">
        <is>
          <t xml:space="preserve">  Changes in Working Capital</t>
        </is>
      </c>
      <c r="B7" s="9" t="n">
        <v>-7000</v>
      </c>
      <c r="C7" s="10" t="n"/>
    </row>
    <row r="8" ht="22" customHeight="1">
      <c r="A8" s="11" t="inlineStr">
        <is>
          <t>Total Operating Cash Flow</t>
        </is>
      </c>
      <c r="B8" s="12">
        <f>B4+B6+B7</f>
        <v/>
      </c>
      <c r="C8" s="11" t="n"/>
    </row>
    <row r="9" ht="6" customHeight="1">
      <c r="A9" s="4" t="n"/>
      <c r="B9" s="4" t="n"/>
      <c r="C9" s="4" t="n"/>
    </row>
    <row r="10" ht="18" customHeight="1">
      <c r="A10" s="5" t="inlineStr">
        <is>
          <t xml:space="preserve">  Capital Expenditures</t>
        </is>
      </c>
      <c r="B10" s="6" t="n">
        <v>-50000</v>
      </c>
      <c r="C10" s="7" t="n"/>
    </row>
    <row r="11" ht="22" customHeight="1">
      <c r="A11" s="11" t="inlineStr">
        <is>
          <t>Total Investing Cash Flow</t>
        </is>
      </c>
      <c r="B11" s="12">
        <f>B10</f>
        <v/>
      </c>
      <c r="C11" s="11" t="n"/>
    </row>
    <row r="12" ht="6" customHeight="1">
      <c r="A12" s="4" t="n"/>
      <c r="B12" s="4" t="n"/>
      <c r="C12" s="4" t="n"/>
    </row>
    <row r="13" ht="22" customHeight="1">
      <c r="A13" s="11" t="inlineStr">
        <is>
          <t>Debt Financing</t>
        </is>
      </c>
      <c r="B13" s="19" t="n">
        <v>45000</v>
      </c>
      <c r="C13" s="11" t="n"/>
    </row>
    <row r="14" ht="6" customHeight="1">
      <c r="A14" s="4" t="n"/>
      <c r="B14" s="4" t="n"/>
      <c r="C14" s="4" t="n"/>
    </row>
    <row r="15" ht="18" customHeight="1">
      <c r="A15" s="8" t="inlineStr">
        <is>
          <t xml:space="preserve">  Dividends Paid</t>
        </is>
      </c>
      <c r="B15" s="9" t="n">
        <v>-23000</v>
      </c>
      <c r="C15" s="10" t="n"/>
    </row>
    <row r="16" ht="22" customHeight="1">
      <c r="A16" s="11" t="inlineStr">
        <is>
          <t>Total Financing Cash Flow</t>
        </is>
      </c>
      <c r="B16" s="12">
        <f>B13+B15</f>
        <v/>
      </c>
      <c r="C16" s="11" t="n"/>
    </row>
    <row r="17" ht="6" customHeight="1">
      <c r="A17" s="4" t="n"/>
      <c r="B17" s="4" t="n"/>
      <c r="C17" s="4" t="n"/>
    </row>
    <row r="18" ht="26" customHeight="1">
      <c r="A18" s="14" t="inlineStr">
        <is>
          <t>NET CASH FLOW</t>
        </is>
      </c>
      <c r="B18" s="15">
        <f>B8+B11+B16</f>
        <v/>
      </c>
      <c r="C18" s="14" t="n"/>
    </row>
    <row r="19" ht="6" customHeight="1">
      <c r="A19" s="4" t="n"/>
      <c r="B19" s="4" t="n"/>
      <c r="C19" s="4" t="n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</cols>
  <sheetData>
    <row r="1" ht="30" customHeight="1">
      <c r="A1" s="1" t="inlineStr">
        <is>
          <t>PROFIT &amp; LOSS STATEMENT</t>
        </is>
      </c>
      <c r="B1" s="16" t="n"/>
      <c r="C1" s="17" t="n"/>
    </row>
    <row r="2" ht="18" customHeight="1">
      <c r="A2" s="3" t="inlineStr">
        <is>
          <t>Financial Year 2026</t>
        </is>
      </c>
      <c r="B2" s="16" t="n"/>
      <c r="C2" s="17" t="n"/>
    </row>
    <row r="3" ht="6" customHeight="1">
      <c r="A3" s="4" t="n"/>
      <c r="B3" s="4" t="n"/>
      <c r="C3" s="4" t="n"/>
    </row>
    <row r="4" ht="18" customHeight="1">
      <c r="A4" s="5" t="inlineStr">
        <is>
          <t xml:space="preserve">  Revenue</t>
        </is>
      </c>
      <c r="B4" s="6" t="n">
        <v>850000</v>
      </c>
      <c r="C4" s="7" t="n"/>
    </row>
    <row r="5" ht="18" customHeight="1">
      <c r="A5" s="8" t="inlineStr">
        <is>
          <t xml:space="preserve">  Cost of Goods Sold</t>
        </is>
      </c>
      <c r="B5" s="9" t="n">
        <v>340000</v>
      </c>
      <c r="C5" s="10" t="n"/>
    </row>
    <row r="6" ht="22" customHeight="1">
      <c r="A6" s="11" t="inlineStr">
        <is>
          <t>Gross Profit</t>
        </is>
      </c>
      <c r="B6" s="12">
        <f>B4-B5</f>
        <v/>
      </c>
      <c r="C6" s="11" t="n"/>
    </row>
    <row r="7" ht="6" customHeight="1">
      <c r="A7" s="4" t="n"/>
      <c r="B7" s="4" t="n"/>
      <c r="C7" s="4" t="n"/>
    </row>
    <row r="8" ht="18" customHeight="1">
      <c r="A8" s="5" t="inlineStr">
        <is>
          <t xml:space="preserve">  Operating Expenses</t>
        </is>
      </c>
      <c r="B8" s="6" t="n">
        <v>280000</v>
      </c>
      <c r="C8" s="7" t="n"/>
    </row>
    <row r="9" ht="22" customHeight="1">
      <c r="A9" s="11" t="inlineStr">
        <is>
          <t>EBITDA</t>
        </is>
      </c>
      <c r="B9" s="12">
        <f>B6-B8</f>
        <v/>
      </c>
      <c r="C9" s="11" t="n"/>
    </row>
    <row r="10" ht="6" customHeight="1">
      <c r="A10" s="4" t="n"/>
      <c r="B10" s="4" t="n"/>
      <c r="C10" s="4" t="n"/>
    </row>
    <row r="11" ht="18" customHeight="1">
      <c r="A11" s="8" t="inlineStr">
        <is>
          <t xml:space="preserve">  Depreciation</t>
        </is>
      </c>
      <c r="B11" s="9" t="n">
        <v>18000</v>
      </c>
      <c r="C11" s="10" t="n"/>
    </row>
    <row r="12" ht="22" customHeight="1">
      <c r="A12" s="11" t="inlineStr">
        <is>
          <t>EBIT</t>
        </is>
      </c>
      <c r="B12" s="12">
        <f>B9-B11</f>
        <v/>
      </c>
      <c r="C12" s="11" t="n"/>
    </row>
    <row r="13" ht="6" customHeight="1">
      <c r="A13" s="4" t="n"/>
      <c r="B13" s="4" t="n"/>
      <c r="C13" s="4" t="n"/>
    </row>
    <row r="14" ht="18" customHeight="1">
      <c r="A14" s="5" t="inlineStr">
        <is>
          <t xml:space="preserve">  Interest Expense</t>
        </is>
      </c>
      <c r="B14" s="6" t="n">
        <v>7000</v>
      </c>
      <c r="C14" s="7" t="n"/>
    </row>
    <row r="15" ht="22" customHeight="1">
      <c r="A15" s="11" t="inlineStr">
        <is>
          <t>EBT</t>
        </is>
      </c>
      <c r="B15" s="12">
        <f>B12-B14</f>
        <v/>
      </c>
      <c r="C15" s="11" t="n"/>
    </row>
    <row r="16" ht="6" customHeight="1">
      <c r="A16" s="4" t="n"/>
      <c r="B16" s="4" t="n"/>
      <c r="C16" s="4" t="n"/>
    </row>
    <row r="17" ht="18" customHeight="1">
      <c r="A17" s="8" t="inlineStr">
        <is>
          <t xml:space="preserve">  Tax</t>
        </is>
      </c>
      <c r="B17" s="13">
        <f>ROUND(B15*0.3,0)</f>
        <v/>
      </c>
      <c r="C17" s="10" t="n"/>
    </row>
    <row r="18" ht="26" customHeight="1">
      <c r="A18" s="14" t="inlineStr">
        <is>
          <t>NET INCOME</t>
        </is>
      </c>
      <c r="B18" s="15">
        <f>B15-B17</f>
        <v/>
      </c>
      <c r="C18" s="14" t="n"/>
    </row>
    <row r="19" ht="6" customHeight="1">
      <c r="A19" s="4" t="n"/>
      <c r="B19" s="4" t="n"/>
      <c r="C19" s="4" t="n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</cols>
  <sheetData>
    <row r="1" ht="30" customHeight="1">
      <c r="A1" s="1" t="inlineStr">
        <is>
          <t>BALANCE SHEET</t>
        </is>
      </c>
      <c r="B1" s="16" t="n"/>
      <c r="C1" s="17" t="n"/>
    </row>
    <row r="2" ht="18" customHeight="1">
      <c r="A2" s="3" t="inlineStr">
        <is>
          <t>Financial Year 2026</t>
        </is>
      </c>
      <c r="B2" s="16" t="n"/>
      <c r="C2" s="17" t="n"/>
    </row>
    <row r="3" ht="6" customHeight="1">
      <c r="A3" s="4" t="n"/>
      <c r="B3" s="4" t="n"/>
      <c r="C3" s="4" t="n"/>
    </row>
    <row r="4" ht="18" customHeight="1">
      <c r="A4" s="5" t="inlineStr">
        <is>
          <t xml:space="preserve">  ASSETS</t>
        </is>
      </c>
      <c r="B4" s="6" t="n"/>
      <c r="C4" s="7" t="n"/>
    </row>
    <row r="5" ht="18" customHeight="1">
      <c r="A5" s="8" t="inlineStr">
        <is>
          <t xml:space="preserve">  Cash &amp; Equivalents</t>
        </is>
      </c>
      <c r="B5" s="9" t="n">
        <v>330000</v>
      </c>
      <c r="C5" s="10" t="n"/>
    </row>
    <row r="6" ht="18" customHeight="1">
      <c r="A6" s="5" t="inlineStr">
        <is>
          <t xml:space="preserve">  Accounts Receivable</t>
        </is>
      </c>
      <c r="B6" s="6" t="n">
        <v>182000</v>
      </c>
      <c r="C6" s="7" t="n"/>
    </row>
    <row r="7" ht="18" customHeight="1">
      <c r="A7" s="8" t="inlineStr">
        <is>
          <t xml:space="preserve">  Inventory</t>
        </is>
      </c>
      <c r="B7" s="9" t="n">
        <v>282000</v>
      </c>
      <c r="C7" s="10" t="n"/>
    </row>
    <row r="8" ht="22" customHeight="1">
      <c r="A8" s="11" t="inlineStr">
        <is>
          <t>Total Current Assets</t>
        </is>
      </c>
      <c r="B8" s="19" t="n">
        <v>794000</v>
      </c>
      <c r="C8" s="11" t="n"/>
    </row>
    <row r="9" ht="6" customHeight="1">
      <c r="A9" s="4" t="n"/>
      <c r="B9" s="4" t="n"/>
      <c r="C9" s="4" t="n"/>
    </row>
    <row r="10" ht="18" customHeight="1">
      <c r="A10" s="5" t="inlineStr">
        <is>
          <t xml:space="preserve">  Property &amp; Equipment (net)</t>
        </is>
      </c>
      <c r="B10" s="6" t="n">
        <v>622000</v>
      </c>
      <c r="C10" s="7" t="n"/>
    </row>
    <row r="11" ht="26" customHeight="1">
      <c r="A11" s="14" t="inlineStr">
        <is>
          <t>TOTAL ASSETS</t>
        </is>
      </c>
      <c r="B11" s="18" t="n">
        <v>1416000</v>
      </c>
      <c r="C11" s="14" t="n"/>
    </row>
    <row r="12" ht="6" customHeight="1">
      <c r="A12" s="4" t="n"/>
      <c r="B12" s="4" t="n"/>
      <c r="C12" s="4" t="n"/>
    </row>
    <row r="13" ht="18" customHeight="1">
      <c r="A13" s="8" t="inlineStr">
        <is>
          <t xml:space="preserve">  LIABILITIES</t>
        </is>
      </c>
      <c r="B13" s="9" t="n"/>
      <c r="C13" s="10" t="n"/>
    </row>
    <row r="14" ht="18" customHeight="1">
      <c r="A14" s="5" t="inlineStr">
        <is>
          <t xml:space="preserve">  Accounts Payable</t>
        </is>
      </c>
      <c r="B14" s="6" t="n">
        <v>74000</v>
      </c>
      <c r="C14" s="7" t="n"/>
    </row>
    <row r="15" ht="22" customHeight="1">
      <c r="A15" s="11" t="inlineStr">
        <is>
          <t>Short-term Debt</t>
        </is>
      </c>
      <c r="B15" s="19" t="n">
        <v>34000</v>
      </c>
      <c r="C15" s="11" t="n"/>
    </row>
    <row r="16" ht="6" customHeight="1">
      <c r="A16" s="4" t="n"/>
      <c r="B16" s="4" t="n"/>
      <c r="C16" s="4" t="n"/>
    </row>
    <row r="17" ht="22" customHeight="1">
      <c r="A17" s="11" t="inlineStr">
        <is>
          <t>Total Current Liabilities</t>
        </is>
      </c>
      <c r="B17" s="19" t="n">
        <v>108000</v>
      </c>
      <c r="C17" s="11" t="n"/>
    </row>
    <row r="18" ht="6" customHeight="1">
      <c r="A18" s="4" t="n"/>
      <c r="B18" s="4" t="n"/>
      <c r="C18" s="4" t="n"/>
    </row>
    <row r="19" ht="22" customHeight="1">
      <c r="A19" s="11" t="inlineStr">
        <is>
          <t>Long-term Debt</t>
        </is>
      </c>
      <c r="B19" s="19" t="n">
        <v>161000</v>
      </c>
      <c r="C19" s="11" t="n"/>
    </row>
    <row r="20" ht="6" customHeight="1">
      <c r="A20" s="4" t="n"/>
      <c r="B20" s="4" t="n"/>
      <c r="C20" s="4" t="n"/>
    </row>
    <row r="21" ht="22" customHeight="1">
      <c r="A21" s="11" t="inlineStr">
        <is>
          <t>Total Liabilities</t>
        </is>
      </c>
      <c r="B21" s="19" t="n">
        <v>269000</v>
      </c>
      <c r="C21" s="11" t="n"/>
    </row>
    <row r="22" ht="6" customHeight="1">
      <c r="A22" s="4" t="n"/>
      <c r="B22" s="4" t="n"/>
      <c r="C22" s="4" t="n"/>
    </row>
    <row r="23" ht="18" customHeight="1">
      <c r="A23" s="8" t="inlineStr">
        <is>
          <t xml:space="preserve">  EQUITY</t>
        </is>
      </c>
      <c r="B23" s="9" t="n"/>
      <c r="C23" s="10" t="n"/>
    </row>
    <row r="24" ht="18" customHeight="1">
      <c r="A24" s="5" t="inlineStr">
        <is>
          <t xml:space="preserve">  Common Stock</t>
        </is>
      </c>
      <c r="B24" s="6" t="n">
        <v>53000</v>
      </c>
      <c r="C24" s="7" t="n"/>
    </row>
    <row r="25" ht="18" customHeight="1">
      <c r="A25" s="8" t="inlineStr">
        <is>
          <t xml:space="preserve">  Retained Earnings</t>
        </is>
      </c>
      <c r="B25" s="9" t="n">
        <v>1094000</v>
      </c>
      <c r="C25" s="10" t="n"/>
    </row>
    <row r="26" ht="22" customHeight="1">
      <c r="A26" s="11" t="inlineStr">
        <is>
          <t>Total Equity</t>
        </is>
      </c>
      <c r="B26" s="19" t="n">
        <v>1147000</v>
      </c>
      <c r="C26" s="11" t="n"/>
    </row>
    <row r="27" ht="6" customHeight="1">
      <c r="A27" s="4" t="n"/>
      <c r="B27" s="4" t="n"/>
      <c r="C27" s="4" t="n"/>
    </row>
    <row r="28" ht="26" customHeight="1">
      <c r="A28" s="14" t="inlineStr">
        <is>
          <t>TOTAL LIABILITIES &amp; EQUITY</t>
        </is>
      </c>
      <c r="B28" s="18" t="n">
        <v>1416000</v>
      </c>
      <c r="C28" s="14" t="n"/>
    </row>
    <row r="29" ht="6" customHeight="1">
      <c r="A29" s="4" t="n"/>
      <c r="B29" s="4" t="n"/>
      <c r="C29" s="4" t="n"/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0" customWidth="1" min="5" max="5"/>
  </cols>
  <sheetData>
    <row r="1" ht="30" customHeight="1">
      <c r="A1" s="1" t="inlineStr">
        <is>
          <t>BUDGET VS ACTUALS</t>
        </is>
      </c>
      <c r="B1" s="16" t="n"/>
      <c r="C1" s="16" t="n"/>
      <c r="D1" s="16" t="n"/>
      <c r="E1" s="17" t="n"/>
    </row>
    <row r="2" ht="18" customHeight="1">
      <c r="A2" s="3" t="inlineStr">
        <is>
          <t>Financial Year 2026</t>
        </is>
      </c>
      <c r="B2" s="16" t="n"/>
      <c r="C2" s="16" t="n"/>
      <c r="D2" s="16" t="n"/>
      <c r="E2" s="17" t="n"/>
    </row>
    <row r="3" ht="6" customHeight="1">
      <c r="A3" s="4" t="n"/>
      <c r="B3" s="4" t="n"/>
      <c r="C3" s="4" t="n"/>
      <c r="D3" s="4" t="n"/>
      <c r="E3" s="4" t="n"/>
    </row>
    <row r="4" ht="22" customHeight="1">
      <c r="A4" s="20" t="inlineStr">
        <is>
          <t>Category</t>
        </is>
      </c>
      <c r="B4" s="20" t="inlineStr">
        <is>
          <t>Budget</t>
        </is>
      </c>
      <c r="C4" s="20" t="inlineStr">
        <is>
          <t>Actual</t>
        </is>
      </c>
      <c r="D4" s="20" t="inlineStr">
        <is>
          <t>Variance</t>
        </is>
      </c>
      <c r="E4" s="20" t="inlineStr">
        <is>
          <t>Var %</t>
        </is>
      </c>
    </row>
    <row r="5" ht="18" customHeight="1">
      <c r="A5" s="10" t="inlineStr">
        <is>
          <t>Sales &amp; Marketing</t>
        </is>
      </c>
      <c r="B5" s="9" t="n">
        <v>85000</v>
      </c>
      <c r="C5" s="9" t="n">
        <v>96000</v>
      </c>
      <c r="D5" s="9" t="n">
        <v>11000</v>
      </c>
      <c r="E5" s="13" t="inlineStr">
        <is>
          <t>12.9%</t>
        </is>
      </c>
    </row>
    <row r="6" ht="18" customHeight="1">
      <c r="A6" s="7" t="inlineStr">
        <is>
          <t>R&amp;D</t>
        </is>
      </c>
      <c r="B6" s="6" t="n">
        <v>120000</v>
      </c>
      <c r="C6" s="6" t="n">
        <v>97000</v>
      </c>
      <c r="D6" s="6" t="n">
        <v>-23000</v>
      </c>
      <c r="E6" s="21" t="inlineStr">
        <is>
          <t>-19.2%</t>
        </is>
      </c>
    </row>
    <row r="7" ht="18" customHeight="1">
      <c r="A7" s="10" t="inlineStr">
        <is>
          <t>Operations</t>
        </is>
      </c>
      <c r="B7" s="9" t="n">
        <v>95000</v>
      </c>
      <c r="C7" s="9" t="n">
        <v>100000</v>
      </c>
      <c r="D7" s="9" t="n">
        <v>5000</v>
      </c>
      <c r="E7" s="13" t="inlineStr">
        <is>
          <t>5.3%</t>
        </is>
      </c>
    </row>
    <row r="8" ht="18" customHeight="1">
      <c r="A8" s="7" t="inlineStr">
        <is>
          <t>Human Resources</t>
        </is>
      </c>
      <c r="B8" s="6" t="n">
        <v>60000</v>
      </c>
      <c r="C8" s="6" t="n">
        <v>63000</v>
      </c>
      <c r="D8" s="6" t="n">
        <v>3000</v>
      </c>
      <c r="E8" s="21" t="inlineStr">
        <is>
          <t>5.0%</t>
        </is>
      </c>
    </row>
    <row r="9" ht="18" customHeight="1">
      <c r="A9" s="10" t="inlineStr">
        <is>
          <t>IT &amp; Infrastructure</t>
        </is>
      </c>
      <c r="B9" s="9" t="n">
        <v>45000</v>
      </c>
      <c r="C9" s="9" t="n">
        <v>39000</v>
      </c>
      <c r="D9" s="9" t="n">
        <v>-6000</v>
      </c>
      <c r="E9" s="13" t="inlineStr">
        <is>
          <t>-13.3%</t>
        </is>
      </c>
    </row>
    <row r="10" ht="18" customHeight="1">
      <c r="A10" s="7" t="inlineStr">
        <is>
          <t>General &amp; Admin</t>
        </is>
      </c>
      <c r="B10" s="6" t="n">
        <v>35000</v>
      </c>
      <c r="C10" s="6" t="n">
        <v>30000</v>
      </c>
      <c r="D10" s="6" t="n">
        <v>-5000</v>
      </c>
      <c r="E10" s="21" t="inlineStr">
        <is>
          <t>-14.3%</t>
        </is>
      </c>
    </row>
    <row r="11" ht="18" customHeight="1">
      <c r="A11" s="11" t="inlineStr">
        <is>
          <t>TOTAL</t>
        </is>
      </c>
      <c r="B11" s="19" t="n">
        <v>440000</v>
      </c>
      <c r="C11" s="19" t="n">
        <v>425000</v>
      </c>
      <c r="D11" s="19" t="n">
        <v>-15000</v>
      </c>
      <c r="E11" s="12" t="inlineStr">
        <is>
          <t>-3.4%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PAYROLL REGISTER</t>
        </is>
      </c>
      <c r="B1" s="16" t="n"/>
      <c r="C1" s="16" t="n"/>
      <c r="D1" s="16" t="n"/>
      <c r="E1" s="16" t="n"/>
      <c r="F1" s="16" t="n"/>
      <c r="G1" s="17" t="n"/>
    </row>
    <row r="2" ht="18" customHeight="1">
      <c r="A2" s="3" t="inlineStr">
        <is>
          <t>Pay Period: April 2026</t>
        </is>
      </c>
      <c r="B2" s="16" t="n"/>
      <c r="C2" s="16" t="n"/>
      <c r="D2" s="16" t="n"/>
      <c r="E2" s="16" t="n"/>
      <c r="F2" s="16" t="n"/>
      <c r="G2" s="17" t="n"/>
    </row>
    <row r="3" ht="6" customHeight="1">
      <c r="A3" s="4" t="n"/>
      <c r="B3" s="4" t="n"/>
      <c r="C3" s="4" t="n"/>
      <c r="D3" s="4" t="n"/>
      <c r="E3" s="4" t="n"/>
      <c r="F3" s="4" t="n"/>
      <c r="G3" s="4" t="n"/>
    </row>
    <row r="4" ht="22" customHeight="1">
      <c r="A4" s="20" t="inlineStr">
        <is>
          <t>Employee</t>
        </is>
      </c>
      <c r="B4" s="20" t="inlineStr">
        <is>
          <t>Department</t>
        </is>
      </c>
      <c r="C4" s="20" t="inlineStr">
        <is>
          <t>Base Salary</t>
        </is>
      </c>
      <c r="D4" s="20" t="inlineStr">
        <is>
          <t>Bonus</t>
        </is>
      </c>
      <c r="E4" s="20" t="inlineStr">
        <is>
          <t>Gross Pay</t>
        </is>
      </c>
      <c r="F4" s="20" t="inlineStr">
        <is>
          <t>Tax (30%)</t>
        </is>
      </c>
      <c r="G4" s="20" t="inlineStr">
        <is>
          <t>Net Pay</t>
        </is>
      </c>
    </row>
    <row r="5" ht="18" customHeight="1">
      <c r="A5" s="10" t="inlineStr">
        <is>
          <t>Alice Johnson</t>
        </is>
      </c>
      <c r="B5" s="13" t="inlineStr">
        <is>
          <t>Engineering</t>
        </is>
      </c>
      <c r="C5" s="9" t="n">
        <v>95000</v>
      </c>
      <c r="D5" s="9" t="n">
        <v>12000</v>
      </c>
      <c r="E5" s="9" t="n">
        <v>107000</v>
      </c>
      <c r="F5" s="9" t="n">
        <v>32100</v>
      </c>
      <c r="G5" s="9" t="n">
        <v>74900</v>
      </c>
    </row>
    <row r="6" ht="18" customHeight="1">
      <c r="A6" s="7" t="inlineStr">
        <is>
          <t>Bob Smith</t>
        </is>
      </c>
      <c r="B6" s="21" t="inlineStr">
        <is>
          <t>Marketing</t>
        </is>
      </c>
      <c r="C6" s="6" t="n">
        <v>72000</v>
      </c>
      <c r="D6" s="6" t="n">
        <v>0</v>
      </c>
      <c r="E6" s="6" t="n">
        <v>72000</v>
      </c>
      <c r="F6" s="6" t="n">
        <v>21600</v>
      </c>
      <c r="G6" s="6" t="n">
        <v>50400</v>
      </c>
    </row>
    <row r="7" ht="18" customHeight="1">
      <c r="A7" s="10" t="inlineStr">
        <is>
          <t>Carol Davis</t>
        </is>
      </c>
      <c r="B7" s="13" t="inlineStr">
        <is>
          <t>Finance</t>
        </is>
      </c>
      <c r="C7" s="9" t="n">
        <v>85000</v>
      </c>
      <c r="D7" s="9" t="n">
        <v>2000</v>
      </c>
      <c r="E7" s="9" t="n">
        <v>87000</v>
      </c>
      <c r="F7" s="9" t="n">
        <v>26100</v>
      </c>
      <c r="G7" s="9" t="n">
        <v>60900</v>
      </c>
    </row>
    <row r="8" ht="18" customHeight="1">
      <c r="A8" s="7" t="inlineStr">
        <is>
          <t>David Lee</t>
        </is>
      </c>
      <c r="B8" s="21" t="inlineStr">
        <is>
          <t>Engineering</t>
        </is>
      </c>
      <c r="C8" s="6" t="n">
        <v>105000</v>
      </c>
      <c r="D8" s="6" t="n">
        <v>4000</v>
      </c>
      <c r="E8" s="6" t="n">
        <v>109000</v>
      </c>
      <c r="F8" s="6" t="n">
        <v>32700</v>
      </c>
      <c r="G8" s="6" t="n">
        <v>76300</v>
      </c>
    </row>
    <row r="9" ht="18" customHeight="1">
      <c r="A9" s="10" t="inlineStr">
        <is>
          <t>Eva Martinez</t>
        </is>
      </c>
      <c r="B9" s="13" t="inlineStr">
        <is>
          <t>HR</t>
        </is>
      </c>
      <c r="C9" s="9" t="n">
        <v>68000</v>
      </c>
      <c r="D9" s="9" t="n">
        <v>3000</v>
      </c>
      <c r="E9" s="9" t="n">
        <v>71000</v>
      </c>
      <c r="F9" s="9" t="n">
        <v>21300</v>
      </c>
      <c r="G9" s="9" t="n">
        <v>49700</v>
      </c>
    </row>
    <row r="10" ht="18" customHeight="1">
      <c r="A10" s="7" t="inlineStr">
        <is>
          <t>Frank Wilson</t>
        </is>
      </c>
      <c r="B10" s="21" t="inlineStr">
        <is>
          <t>Operations</t>
        </is>
      </c>
      <c r="C10" s="6" t="n">
        <v>78000</v>
      </c>
      <c r="D10" s="6" t="n">
        <v>3000</v>
      </c>
      <c r="E10" s="6" t="n">
        <v>81000</v>
      </c>
      <c r="F10" s="6" t="n">
        <v>24300</v>
      </c>
      <c r="G10" s="6" t="n">
        <v>56700</v>
      </c>
    </row>
    <row r="11" ht="18" customHeight="1">
      <c r="A11" s="11" t="inlineStr">
        <is>
          <t>TOTAL</t>
        </is>
      </c>
      <c r="B11" s="12" t="inlineStr"/>
      <c r="C11" s="19" t="n">
        <v>503000</v>
      </c>
      <c r="D11" s="19" t="n">
        <v>24000</v>
      </c>
      <c r="E11" s="19" t="n">
        <v>527000</v>
      </c>
      <c r="F11" s="19" t="n">
        <v>158100</v>
      </c>
      <c r="G11" s="19" t="n">
        <v>368900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</cols>
  <sheetData>
    <row r="1" ht="30" customHeight="1">
      <c r="A1" s="1" t="inlineStr">
        <is>
          <t>PROFIT &amp; LOSS STATEMENT</t>
        </is>
      </c>
      <c r="B1" s="16" t="n"/>
      <c r="C1" s="17" t="n"/>
    </row>
    <row r="2" ht="18" customHeight="1">
      <c r="A2" s="3" t="inlineStr">
        <is>
          <t>FY2025</t>
        </is>
      </c>
      <c r="B2" s="16" t="n"/>
      <c r="C2" s="17" t="n"/>
    </row>
    <row r="3" ht="6" customHeight="1">
      <c r="A3" s="4" t="n"/>
      <c r="B3" s="4" t="n"/>
      <c r="C3" s="4" t="n"/>
    </row>
    <row r="4" ht="18" customHeight="1">
      <c r="A4" s="5" t="inlineStr">
        <is>
          <t xml:space="preserve">  Revenue</t>
        </is>
      </c>
      <c r="B4" s="6" t="n">
        <v>1200000</v>
      </c>
      <c r="C4" s="7" t="n"/>
    </row>
    <row r="5" ht="18" customHeight="1">
      <c r="A5" s="8" t="inlineStr">
        <is>
          <t xml:space="preserve">  Cost of Goods Sold</t>
        </is>
      </c>
      <c r="B5" s="9" t="n">
        <v>603000</v>
      </c>
      <c r="C5" s="10" t="n"/>
    </row>
    <row r="6" ht="22" customHeight="1">
      <c r="A6" s="11" t="inlineStr">
        <is>
          <t>Gross Profit</t>
        </is>
      </c>
      <c r="B6" s="12">
        <f>B4-B5</f>
        <v/>
      </c>
      <c r="C6" s="11" t="n"/>
    </row>
    <row r="7" ht="6" customHeight="1">
      <c r="A7" s="4" t="n"/>
      <c r="B7" s="4" t="n"/>
      <c r="C7" s="4" t="n"/>
    </row>
    <row r="8" ht="18" customHeight="1">
      <c r="A8" s="5" t="inlineStr">
        <is>
          <t xml:space="preserve">  Operating Expenses</t>
        </is>
      </c>
      <c r="B8" s="6" t="n">
        <v>480000</v>
      </c>
      <c r="C8" s="7" t="n"/>
    </row>
    <row r="9" ht="22" customHeight="1">
      <c r="A9" s="11" t="inlineStr">
        <is>
          <t>EBITDA</t>
        </is>
      </c>
      <c r="B9" s="12">
        <f>B6-B8</f>
        <v/>
      </c>
      <c r="C9" s="11" t="n"/>
    </row>
    <row r="10" ht="6" customHeight="1">
      <c r="A10" s="4" t="n"/>
      <c r="B10" s="4" t="n"/>
      <c r="C10" s="4" t="n"/>
    </row>
    <row r="11" ht="18" customHeight="1">
      <c r="A11" s="8" t="inlineStr">
        <is>
          <t xml:space="preserve">  Depreciation</t>
        </is>
      </c>
      <c r="B11" s="9" t="n">
        <v>31000</v>
      </c>
      <c r="C11" s="10" t="n"/>
    </row>
    <row r="12" ht="22" customHeight="1">
      <c r="A12" s="11" t="inlineStr">
        <is>
          <t>EBIT</t>
        </is>
      </c>
      <c r="B12" s="12">
        <f>B9-B11</f>
        <v/>
      </c>
      <c r="C12" s="11" t="n"/>
    </row>
    <row r="13" ht="6" customHeight="1">
      <c r="A13" s="4" t="n"/>
      <c r="B13" s="4" t="n"/>
      <c r="C13" s="4" t="n"/>
    </row>
    <row r="14" ht="18" customHeight="1">
      <c r="A14" s="5" t="inlineStr">
        <is>
          <t xml:space="preserve">  Interest Expense</t>
        </is>
      </c>
      <c r="B14" s="6" t="n">
        <v>12000</v>
      </c>
      <c r="C14" s="7" t="n"/>
    </row>
    <row r="15" ht="22" customHeight="1">
      <c r="A15" s="11" t="inlineStr">
        <is>
          <t>EBT</t>
        </is>
      </c>
      <c r="B15" s="12">
        <f>B12-B14</f>
        <v/>
      </c>
      <c r="C15" s="11" t="n"/>
    </row>
    <row r="16" ht="6" customHeight="1">
      <c r="A16" s="4" t="n"/>
      <c r="B16" s="4" t="n"/>
      <c r="C16" s="4" t="n"/>
    </row>
    <row r="17" ht="18" customHeight="1">
      <c r="A17" s="8" t="inlineStr">
        <is>
          <t xml:space="preserve">  Tax</t>
        </is>
      </c>
      <c r="B17" s="13">
        <f>ROUND(B15*0.3,0)</f>
        <v/>
      </c>
      <c r="C17" s="10" t="n"/>
    </row>
    <row r="18" ht="26" customHeight="1">
      <c r="A18" s="14" t="inlineStr">
        <is>
          <t>NET INCOME</t>
        </is>
      </c>
      <c r="B18" s="15">
        <f>B15-B17</f>
        <v/>
      </c>
      <c r="C18" s="14" t="n"/>
    </row>
    <row r="19" ht="6" customHeight="1">
      <c r="A19" s="4" t="n"/>
      <c r="B19" s="4" t="n"/>
      <c r="C19" s="4" t="n"/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</cols>
  <sheetData>
    <row r="1" ht="30" customHeight="1">
      <c r="A1" s="1" t="inlineStr">
        <is>
          <t>CASH FLOW STATEMENT</t>
        </is>
      </c>
      <c r="B1" s="16" t="n"/>
      <c r="C1" s="17" t="n"/>
    </row>
    <row r="2" ht="18" customHeight="1">
      <c r="A2" s="3" t="inlineStr">
        <is>
          <t>FY2025</t>
        </is>
      </c>
      <c r="B2" s="16" t="n"/>
      <c r="C2" s="17" t="n"/>
    </row>
    <row r="3" ht="6" customHeight="1">
      <c r="A3" s="4" t="n"/>
      <c r="B3" s="4" t="n"/>
      <c r="C3" s="4" t="n"/>
    </row>
    <row r="4" ht="26" customHeight="1">
      <c r="A4" s="14" t="inlineStr">
        <is>
          <t>NET INCOME</t>
        </is>
      </c>
      <c r="B4" s="18" t="n">
        <v>71000</v>
      </c>
      <c r="C4" s="14" t="n"/>
    </row>
    <row r="5" ht="6" customHeight="1">
      <c r="A5" s="4" t="n"/>
      <c r="B5" s="4" t="n"/>
      <c r="C5" s="4" t="n"/>
    </row>
    <row r="6" ht="18" customHeight="1">
      <c r="A6" s="5" t="inlineStr">
        <is>
          <t xml:space="preserve">  Add: Depreciation</t>
        </is>
      </c>
      <c r="B6" s="6" t="n">
        <v>12000</v>
      </c>
      <c r="C6" s="7" t="n"/>
    </row>
    <row r="7" ht="18" customHeight="1">
      <c r="A7" s="8" t="inlineStr">
        <is>
          <t xml:space="preserve">  Changes in Working Capital</t>
        </is>
      </c>
      <c r="B7" s="9" t="n">
        <v>-44000</v>
      </c>
      <c r="C7" s="10" t="n"/>
    </row>
    <row r="8" ht="22" customHeight="1">
      <c r="A8" s="11" t="inlineStr">
        <is>
          <t>Total Operating Cash Flow</t>
        </is>
      </c>
      <c r="B8" s="12">
        <f>B4+B6+B7</f>
        <v/>
      </c>
      <c r="C8" s="11" t="n"/>
    </row>
    <row r="9" ht="6" customHeight="1">
      <c r="A9" s="4" t="n"/>
      <c r="B9" s="4" t="n"/>
      <c r="C9" s="4" t="n"/>
    </row>
    <row r="10" ht="18" customHeight="1">
      <c r="A10" s="5" t="inlineStr">
        <is>
          <t xml:space="preserve">  Capital Expenditures</t>
        </is>
      </c>
      <c r="B10" s="6" t="n">
        <v>-79000</v>
      </c>
      <c r="C10" s="7" t="n"/>
    </row>
    <row r="11" ht="22" customHeight="1">
      <c r="A11" s="11" t="inlineStr">
        <is>
          <t>Total Investing Cash Flow</t>
        </is>
      </c>
      <c r="B11" s="12">
        <f>B10</f>
        <v/>
      </c>
      <c r="C11" s="11" t="n"/>
    </row>
    <row r="12" ht="6" customHeight="1">
      <c r="A12" s="4" t="n"/>
      <c r="B12" s="4" t="n"/>
      <c r="C12" s="4" t="n"/>
    </row>
    <row r="13" ht="22" customHeight="1">
      <c r="A13" s="11" t="inlineStr">
        <is>
          <t>Debt Financing</t>
        </is>
      </c>
      <c r="B13" s="19" t="n">
        <v>-4000</v>
      </c>
      <c r="C13" s="11" t="n"/>
    </row>
    <row r="14" ht="6" customHeight="1">
      <c r="A14" s="4" t="n"/>
      <c r="B14" s="4" t="n"/>
      <c r="C14" s="4" t="n"/>
    </row>
    <row r="15" ht="18" customHeight="1">
      <c r="A15" s="8" t="inlineStr">
        <is>
          <t xml:space="preserve">  Dividends Paid</t>
        </is>
      </c>
      <c r="B15" s="9" t="n">
        <v>-8000</v>
      </c>
      <c r="C15" s="10" t="n"/>
    </row>
    <row r="16" ht="22" customHeight="1">
      <c r="A16" s="11" t="inlineStr">
        <is>
          <t>Total Financing Cash Flow</t>
        </is>
      </c>
      <c r="B16" s="12">
        <f>B13+B15</f>
        <v/>
      </c>
      <c r="C16" s="11" t="n"/>
    </row>
    <row r="17" ht="6" customHeight="1">
      <c r="A17" s="4" t="n"/>
      <c r="B17" s="4" t="n"/>
      <c r="C17" s="4" t="n"/>
    </row>
    <row r="18" ht="26" customHeight="1">
      <c r="A18" s="14" t="inlineStr">
        <is>
          <t>NET CASH FLOW</t>
        </is>
      </c>
      <c r="B18" s="15">
        <f>B8+B11+B16</f>
        <v/>
      </c>
      <c r="C18" s="14" t="n"/>
    </row>
    <row r="19" ht="6" customHeight="1">
      <c r="A19" s="4" t="n"/>
      <c r="B19" s="4" t="n"/>
      <c r="C19" s="4" t="n"/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</cols>
  <sheetData>
    <row r="1" ht="30" customHeight="1">
      <c r="A1" s="1" t="inlineStr">
        <is>
          <t>CASH FLOW STATEMENT</t>
        </is>
      </c>
      <c r="B1" s="16" t="n"/>
      <c r="C1" s="17" t="n"/>
    </row>
    <row r="2" ht="18" customHeight="1">
      <c r="A2" s="3" t="inlineStr">
        <is>
          <t>Financial Year 2026</t>
        </is>
      </c>
      <c r="B2" s="16" t="n"/>
      <c r="C2" s="17" t="n"/>
    </row>
    <row r="3" ht="6" customHeight="1">
      <c r="A3" s="4" t="n"/>
      <c r="B3" s="4" t="n"/>
      <c r="C3" s="4" t="n"/>
    </row>
    <row r="4" ht="26" customHeight="1">
      <c r="A4" s="14" t="inlineStr">
        <is>
          <t>NET INCOME</t>
        </is>
      </c>
      <c r="B4" s="18" t="n">
        <v>212000</v>
      </c>
      <c r="C4" s="14" t="n"/>
    </row>
    <row r="5" ht="6" customHeight="1">
      <c r="A5" s="4" t="n"/>
      <c r="B5" s="4" t="n"/>
      <c r="C5" s="4" t="n"/>
    </row>
    <row r="6" ht="18" customHeight="1">
      <c r="A6" s="5" t="inlineStr">
        <is>
          <t xml:space="preserve">  Add: Depreciation</t>
        </is>
      </c>
      <c r="B6" s="6" t="n">
        <v>18000</v>
      </c>
      <c r="C6" s="7" t="n"/>
    </row>
    <row r="7" ht="18" customHeight="1">
      <c r="A7" s="8" t="inlineStr">
        <is>
          <t xml:space="preserve">  Changes in Working Capital</t>
        </is>
      </c>
      <c r="B7" s="9" t="n">
        <v>-43000</v>
      </c>
      <c r="C7" s="10" t="n"/>
    </row>
    <row r="8" ht="22" customHeight="1">
      <c r="A8" s="11" t="inlineStr">
        <is>
          <t>Total Operating Cash Flow</t>
        </is>
      </c>
      <c r="B8" s="12">
        <f>B4+B6+B7</f>
        <v/>
      </c>
      <c r="C8" s="11" t="n"/>
    </row>
    <row r="9" ht="6" customHeight="1">
      <c r="A9" s="4" t="n"/>
      <c r="B9" s="4" t="n"/>
      <c r="C9" s="4" t="n"/>
    </row>
    <row r="10" ht="18" customHeight="1">
      <c r="A10" s="5" t="inlineStr">
        <is>
          <t xml:space="preserve">  Capital Expenditures</t>
        </is>
      </c>
      <c r="B10" s="6" t="n">
        <v>-123000</v>
      </c>
      <c r="C10" s="7" t="n"/>
    </row>
    <row r="11" ht="22" customHeight="1">
      <c r="A11" s="11" t="inlineStr">
        <is>
          <t>Total Investing Cash Flow</t>
        </is>
      </c>
      <c r="B11" s="12">
        <f>B10</f>
        <v/>
      </c>
      <c r="C11" s="11" t="n"/>
    </row>
    <row r="12" ht="6" customHeight="1">
      <c r="A12" s="4" t="n"/>
      <c r="B12" s="4" t="n"/>
      <c r="C12" s="4" t="n"/>
    </row>
    <row r="13" ht="22" customHeight="1">
      <c r="A13" s="11" t="inlineStr">
        <is>
          <t>Debt Financing</t>
        </is>
      </c>
      <c r="B13" s="19" t="n">
        <v>-19000</v>
      </c>
      <c r="C13" s="11" t="n"/>
    </row>
    <row r="14" ht="6" customHeight="1">
      <c r="A14" s="4" t="n"/>
      <c r="B14" s="4" t="n"/>
      <c r="C14" s="4" t="n"/>
    </row>
    <row r="15" ht="18" customHeight="1">
      <c r="A15" s="8" t="inlineStr">
        <is>
          <t xml:space="preserve">  Dividends Paid</t>
        </is>
      </c>
      <c r="B15" s="9" t="n">
        <v>-7000</v>
      </c>
      <c r="C15" s="10" t="n"/>
    </row>
    <row r="16" ht="22" customHeight="1">
      <c r="A16" s="11" t="inlineStr">
        <is>
          <t>Total Financing Cash Flow</t>
        </is>
      </c>
      <c r="B16" s="12">
        <f>B13+B15</f>
        <v/>
      </c>
      <c r="C16" s="11" t="n"/>
    </row>
    <row r="17" ht="6" customHeight="1">
      <c r="A17" s="4" t="n"/>
      <c r="B17" s="4" t="n"/>
      <c r="C17" s="4" t="n"/>
    </row>
    <row r="18" ht="26" customHeight="1">
      <c r="A18" s="14" t="inlineStr">
        <is>
          <t>NET CASH FLOW</t>
        </is>
      </c>
      <c r="B18" s="15">
        <f>B8+B11+B16</f>
        <v/>
      </c>
      <c r="C18" s="14" t="n"/>
    </row>
    <row r="19" ht="6" customHeight="1">
      <c r="A19" s="4" t="n"/>
      <c r="B19" s="4" t="n"/>
      <c r="C19" s="4" t="n"/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</cols>
  <sheetData>
    <row r="1" ht="30" customHeight="1">
      <c r="A1" s="1" t="inlineStr">
        <is>
          <t>BALANCE SHEET</t>
        </is>
      </c>
      <c r="B1" s="2" t="n"/>
      <c r="C1" s="2" t="n"/>
    </row>
    <row r="2" ht="18" customHeight="1">
      <c r="A2" s="3" t="inlineStr">
        <is>
          <t>Financial Year 2026</t>
        </is>
      </c>
      <c r="B2" s="2" t="n"/>
      <c r="C2" s="2" t="n"/>
    </row>
    <row r="3" ht="6" customHeight="1">
      <c r="A3" s="4" t="n"/>
      <c r="B3" s="4" t="n"/>
      <c r="C3" s="4" t="n"/>
    </row>
    <row r="4" ht="18" customHeight="1">
      <c r="A4" s="5" t="inlineStr">
        <is>
          <t xml:space="preserve">  ASSETS</t>
        </is>
      </c>
      <c r="B4" s="6" t="n"/>
      <c r="C4" s="7" t="n"/>
    </row>
    <row r="5" ht="18" customHeight="1">
      <c r="A5" s="8" t="inlineStr">
        <is>
          <t xml:space="preserve">  Cash &amp; Equivalents</t>
        </is>
      </c>
      <c r="B5" s="9" t="n">
        <v>393000</v>
      </c>
      <c r="C5" s="10" t="n"/>
    </row>
    <row r="6" ht="18" customHeight="1">
      <c r="A6" s="5" t="inlineStr">
        <is>
          <t xml:space="preserve">  Accounts Receivable</t>
        </is>
      </c>
      <c r="B6" s="6" t="n">
        <v>49000</v>
      </c>
      <c r="C6" s="7" t="n"/>
    </row>
    <row r="7" ht="18" customHeight="1">
      <c r="A7" s="8" t="inlineStr">
        <is>
          <t xml:space="preserve">  Inventory</t>
        </is>
      </c>
      <c r="B7" s="9" t="n">
        <v>121000</v>
      </c>
      <c r="C7" s="10" t="n"/>
    </row>
    <row r="8" ht="22" customHeight="1">
      <c r="A8" s="11" t="inlineStr">
        <is>
          <t>Total Current Assets</t>
        </is>
      </c>
      <c r="B8" s="19" t="n">
        <v>563000</v>
      </c>
      <c r="C8" s="11" t="n"/>
    </row>
    <row r="9" ht="6" customHeight="1">
      <c r="A9" s="4" t="n"/>
      <c r="B9" s="4" t="n"/>
      <c r="C9" s="4" t="n"/>
    </row>
    <row r="10" ht="18" customHeight="1">
      <c r="A10" s="5" t="inlineStr">
        <is>
          <t xml:space="preserve">  Property &amp; Equipment (net)</t>
        </is>
      </c>
      <c r="B10" s="6" t="n">
        <v>155000</v>
      </c>
      <c r="C10" s="7" t="n"/>
    </row>
    <row r="11" ht="26" customHeight="1">
      <c r="A11" s="14" t="inlineStr">
        <is>
          <t>TOTAL ASSETS</t>
        </is>
      </c>
      <c r="B11" s="18" t="n">
        <v>718000</v>
      </c>
      <c r="C11" s="14" t="n"/>
    </row>
    <row r="12" ht="6" customHeight="1">
      <c r="A12" s="4" t="n"/>
      <c r="B12" s="4" t="n"/>
      <c r="C12" s="4" t="n"/>
    </row>
    <row r="13" ht="18" customHeight="1">
      <c r="A13" s="8" t="inlineStr">
        <is>
          <t xml:space="preserve">  LIABILITIES</t>
        </is>
      </c>
      <c r="B13" s="9" t="n"/>
      <c r="C13" s="10" t="n"/>
    </row>
    <row r="14" ht="18" customHeight="1">
      <c r="A14" s="5" t="inlineStr">
        <is>
          <t xml:space="preserve">  Accounts Payable</t>
        </is>
      </c>
      <c r="B14" s="6" t="n">
        <v>59000</v>
      </c>
      <c r="C14" s="7" t="n"/>
    </row>
    <row r="15" ht="22" customHeight="1">
      <c r="A15" s="11" t="inlineStr">
        <is>
          <t>Short-term Debt</t>
        </is>
      </c>
      <c r="B15" s="19" t="n">
        <v>34000</v>
      </c>
      <c r="C15" s="11" t="n"/>
    </row>
    <row r="16" ht="6" customHeight="1">
      <c r="A16" s="4" t="n"/>
      <c r="B16" s="4" t="n"/>
      <c r="C16" s="4" t="n"/>
    </row>
    <row r="17" ht="22" customHeight="1">
      <c r="A17" s="11" t="inlineStr">
        <is>
          <t>Total Current Liabilities</t>
        </is>
      </c>
      <c r="B17" s="19" t="n">
        <v>93000</v>
      </c>
      <c r="C17" s="11" t="n"/>
    </row>
    <row r="18" ht="6" customHeight="1">
      <c r="A18" s="4" t="n"/>
      <c r="B18" s="4" t="n"/>
      <c r="C18" s="4" t="n"/>
    </row>
    <row r="19" ht="22" customHeight="1">
      <c r="A19" s="11" t="inlineStr">
        <is>
          <t>Long-term Debt</t>
        </is>
      </c>
      <c r="B19" s="19" t="n">
        <v>55000</v>
      </c>
      <c r="C19" s="11" t="n"/>
    </row>
    <row r="20" ht="6" customHeight="1">
      <c r="A20" s="4" t="n"/>
      <c r="B20" s="4" t="n"/>
      <c r="C20" s="4" t="n"/>
    </row>
    <row r="21" ht="22" customHeight="1">
      <c r="A21" s="11" t="inlineStr">
        <is>
          <t>Total Liabilities</t>
        </is>
      </c>
      <c r="B21" s="19" t="n">
        <v>148000</v>
      </c>
      <c r="C21" s="11" t="n"/>
    </row>
    <row r="22" ht="6" customHeight="1">
      <c r="A22" s="4" t="n"/>
      <c r="B22" s="4" t="n"/>
      <c r="C22" s="4" t="n"/>
    </row>
    <row r="23" ht="18" customHeight="1">
      <c r="A23" s="8" t="inlineStr">
        <is>
          <t xml:space="preserve">  EQUITY</t>
        </is>
      </c>
      <c r="B23" s="9" t="n"/>
      <c r="C23" s="10" t="n"/>
    </row>
    <row r="24" ht="18" customHeight="1">
      <c r="A24" s="5" t="inlineStr">
        <is>
          <t xml:space="preserve">  Common Stock</t>
        </is>
      </c>
      <c r="B24" s="6" t="n">
        <v>160000</v>
      </c>
      <c r="C24" s="7" t="n"/>
    </row>
    <row r="25" ht="18" customHeight="1">
      <c r="A25" s="8" t="inlineStr">
        <is>
          <t xml:space="preserve">  Retained Earnings</t>
        </is>
      </c>
      <c r="B25" s="9" t="n">
        <v>410000</v>
      </c>
      <c r="C25" s="10" t="n"/>
    </row>
    <row r="26" ht="22" customHeight="1">
      <c r="A26" s="11" t="inlineStr">
        <is>
          <t>Total Equity</t>
        </is>
      </c>
      <c r="B26" s="19" t="n">
        <v>570000</v>
      </c>
      <c r="C26" s="11" t="n"/>
    </row>
    <row r="27" ht="6" customHeight="1">
      <c r="A27" s="4" t="n"/>
      <c r="B27" s="4" t="n"/>
      <c r="C27" s="4" t="n"/>
    </row>
    <row r="28" ht="26" customHeight="1">
      <c r="A28" s="14" t="inlineStr">
        <is>
          <t>TOTAL LIABILITIES &amp; EQUITY</t>
        </is>
      </c>
      <c r="B28" s="18" t="n">
        <v>718000</v>
      </c>
      <c r="C28" s="14" t="n"/>
    </row>
    <row r="29" ht="6" customHeight="1">
      <c r="A29" s="4" t="n"/>
      <c r="B29" s="4" t="n"/>
      <c r="C29" s="4" t="n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2026-04-22T16:24:01Z</dcterms:created>
  <dcterms:modified xmlns:dcterms="http://purl.org/dc/terms/" xmlns:xsi="http://www.w3.org/2001/XMLSchema-instance" xsi:type="dcterms:W3CDTF">2026-04-22T16:24:03Z</dcterms:modified>
</cp:coreProperties>
</file>