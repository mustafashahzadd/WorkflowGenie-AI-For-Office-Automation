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rial Balance" sheetId="1" state="visible" r:id="rId1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000000"/>
      <sz val="12"/>
    </font>
    <font>
      <name val="Calibri"/>
      <color rgb="FF000000"/>
      <sz val="11"/>
    </font>
    <font>
      <name val="Arial"/>
      <b val="1"/>
      <color rgb="FF000000"/>
      <sz val="9"/>
    </font>
    <font>
      <name val="Arial"/>
      <b val="1"/>
      <i val="1"/>
      <color rgb="FF000000"/>
      <sz val="9"/>
    </font>
    <font>
      <name val="Arial"/>
      <color rgb="FF000000"/>
      <sz val="9"/>
    </font>
    <font>
      <name val="Arial"/>
      <i val="1"/>
      <color rgb="FF000000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left" vertical="top"/>
    </xf>
    <xf numFmtId="0" fontId="5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right" vertical="top"/>
    </xf>
    <xf numFmtId="0" fontId="4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right" vertical="top"/>
    </xf>
    <xf numFmtId="0" fontId="5" fillId="0" borderId="0" applyAlignment="1" pivotButton="0" quotePrefix="0" xfId="0">
      <alignment horizontal="right" vertical="top"/>
    </xf>
    <xf numFmtId="0" fontId="5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Particulars' Debit Values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'Trial Balance'!B2</f>
            </strRef>
          </tx>
          <spPr>
            <a:ln>
              <a:prstDash val="solid"/>
            </a:ln>
          </spPr>
          <cat>
            <numRef>
              <f>'Trial Balance'!$A$3:$A$66</f>
            </numRef>
          </cat>
          <val>
            <numRef>
              <f>'Trial Balance'!$B$3:$B$66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Mocked Bar Chart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'Trial Balance'!B1</f>
            </strRef>
          </tx>
          <spPr>
            <a:ln>
              <a:prstDash val="solid"/>
            </a:ln>
          </spPr>
          <cat>
            <numRef>
              <f>'Trial Balance'!$A$2:$A$10</f>
            </numRef>
          </cat>
          <val>
            <numRef>
              <f>'Trial Balance'!$B$2:$B$10</f>
            </numRef>
          </val>
        </ser>
        <ser>
          <idx val="1"/>
          <order val="1"/>
          <tx>
            <strRef>
              <f>'Trial Balance'!C1</f>
            </strRef>
          </tx>
          <spPr>
            <a:ln>
              <a:prstDash val="solid"/>
            </a:ln>
          </spPr>
          <cat>
            <numRef>
              <f>'Trial Balance'!$A$2:$A$10</f>
            </numRef>
          </cat>
          <val>
            <numRef>
              <f>'Trial Balance'!$C$2:$C$10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Mocked Bar Chart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Mocked Bar Chart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'Trial Balance'!B1</f>
            </strRef>
          </tx>
          <spPr>
            <a:ln>
              <a:prstDash val="solid"/>
            </a:ln>
          </spPr>
          <cat>
            <numRef>
              <f>'Trial Balance'!$A$2:$A$10</f>
            </numRef>
          </cat>
          <val>
            <numRef>
              <f>'Trial Balance'!$B$2:$B$10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Mocked Pie Chart</a:t>
            </a:r>
          </a:p>
        </rich>
      </tx>
    </title>
    <plotArea>
      <pieChart>
        <varyColors val="1"/>
        <ser>
          <idx val="0"/>
          <order val="0"/>
          <tx>
            <strRef>
              <f>'Trial Balance'!B1</f>
            </strRef>
          </tx>
          <spPr>
            <a:ln>
              <a:prstDash val="solid"/>
            </a:ln>
          </spPr>
          <cat>
            <numRef>
              <f>'Trial Balance'!$A$2:$A$10</f>
            </numRef>
          </cat>
          <val>
            <numRef>
              <f>'Trial Balance'!$B$2:$B$10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0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83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83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83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 outlineLevelRow="0"/>
  <cols>
    <col width="35.21875" customWidth="1" min="1" max="1"/>
    <col width="9.21875" customWidth="1" min="2" max="2"/>
    <col width="9.6640625" customWidth="1" min="3" max="5"/>
    <col width="9.21875" customWidth="1" min="6" max="6"/>
    <col width="9.6640625" customWidth="1" min="7" max="9"/>
    <col width="9.21875" customWidth="1" min="10" max="10"/>
    <col width="9.6640625" customWidth="1" min="11" max="13"/>
  </cols>
  <sheetData>
    <row r="1" ht="15.6" customHeight="1">
      <c r="A1" s="1" t="inlineStr">
        <is>
          <t xml:space="preserve">ABC </t>
        </is>
      </c>
      <c r="B1" s="2" t="inlineStr">
        <is>
          <t xml:space="preserve">ABC </t>
        </is>
      </c>
      <c r="C1" s="2" t="inlineStr">
        <is>
          <t xml:space="preserve">ABC </t>
        </is>
      </c>
    </row>
    <row r="2" ht="15.6" customHeight="1">
      <c r="A2" s="1" t="inlineStr">
        <is>
          <t>Trial Balance</t>
        </is>
      </c>
      <c r="B2" s="2" t="inlineStr">
        <is>
          <t>Trial Balance</t>
        </is>
      </c>
      <c r="C2" s="2" t="inlineStr">
        <is>
          <t>Trial Balance</t>
        </is>
      </c>
    </row>
    <row r="3">
      <c r="B3" s="3" t="inlineStr">
        <is>
          <t>ABC</t>
        </is>
      </c>
      <c r="C3" s="2" t="inlineStr">
        <is>
          <t>ABC</t>
        </is>
      </c>
      <c r="D3" s="4" t="inlineStr">
        <is>
          <t>ABC</t>
        </is>
      </c>
      <c r="E3" s="2" t="inlineStr">
        <is>
          <t>ABC</t>
        </is>
      </c>
      <c r="F3" s="3" t="inlineStr">
        <is>
          <t>ABC</t>
        </is>
      </c>
      <c r="G3" s="2" t="inlineStr">
        <is>
          <t>ABC</t>
        </is>
      </c>
      <c r="H3" s="4" t="inlineStr">
        <is>
          <t>ABC</t>
        </is>
      </c>
      <c r="I3" s="2" t="inlineStr">
        <is>
          <t>ABC</t>
        </is>
      </c>
      <c r="J3" s="3" t="inlineStr">
        <is>
          <t>ABC</t>
        </is>
      </c>
      <c r="K3" s="2" t="inlineStr">
        <is>
          <t>ABC</t>
        </is>
      </c>
      <c r="L3" s="4" t="inlineStr">
        <is>
          <t>ABC</t>
        </is>
      </c>
      <c r="M3" s="2" t="inlineStr">
        <is>
          <t>ABC</t>
        </is>
      </c>
    </row>
    <row r="4">
      <c r="A4" s="5" t="inlineStr">
        <is>
          <t>Particulars</t>
        </is>
      </c>
      <c r="B4" s="6" t="inlineStr">
        <is>
          <t>1-Jan-25 to 31-Jan-25</t>
        </is>
      </c>
      <c r="C4" s="2" t="inlineStr">
        <is>
          <t>1-Jan-25 to 31-Jan-25</t>
        </is>
      </c>
      <c r="D4" s="7" t="inlineStr">
        <is>
          <t>1-Feb-25 to 28-Feb-25</t>
        </is>
      </c>
      <c r="E4" s="2" t="inlineStr">
        <is>
          <t>1-Feb-25 to 28-Feb-25</t>
        </is>
      </c>
      <c r="F4" s="6" t="inlineStr">
        <is>
          <t>1-Mar-25 to 31-Mar-25</t>
        </is>
      </c>
      <c r="G4" s="2" t="inlineStr">
        <is>
          <t>1-Mar-25 to 31-Mar-25</t>
        </is>
      </c>
      <c r="H4" s="7" t="inlineStr">
        <is>
          <t>1-Apr-25 to 30-Apr-25</t>
        </is>
      </c>
      <c r="I4" s="2" t="inlineStr">
        <is>
          <t>1-Apr-25 to 30-Apr-25</t>
        </is>
      </c>
      <c r="J4" s="6" t="inlineStr">
        <is>
          <t>1-May-25 to 31-May-25</t>
        </is>
      </c>
      <c r="K4" s="2" t="inlineStr">
        <is>
          <t>1-May-25 to 31-May-25</t>
        </is>
      </c>
      <c r="L4" s="7" t="inlineStr">
        <is>
          <t>1-Jan-24 to 31-May-24</t>
        </is>
      </c>
      <c r="M4" s="2" t="inlineStr">
        <is>
          <t>1-Jan-24 to 31-May-24</t>
        </is>
      </c>
    </row>
    <row r="5">
      <c r="B5" s="8" t="inlineStr">
        <is>
          <t>Closing Balance</t>
        </is>
      </c>
      <c r="C5" s="2" t="inlineStr">
        <is>
          <t>Closing Balance</t>
        </is>
      </c>
      <c r="D5" s="8" t="inlineStr">
        <is>
          <t>Closing Balance</t>
        </is>
      </c>
      <c r="E5" s="2" t="inlineStr">
        <is>
          <t>Closing Balance</t>
        </is>
      </c>
      <c r="F5" s="8" t="inlineStr">
        <is>
          <t>Closing Balance</t>
        </is>
      </c>
      <c r="G5" s="2" t="inlineStr">
        <is>
          <t>Closing Balance</t>
        </is>
      </c>
      <c r="H5" s="8" t="inlineStr">
        <is>
          <t>Closing Balance</t>
        </is>
      </c>
      <c r="I5" s="2" t="inlineStr">
        <is>
          <t>Closing Balance</t>
        </is>
      </c>
      <c r="J5" s="8" t="inlineStr">
        <is>
          <t>Closing Balance</t>
        </is>
      </c>
      <c r="K5" s="2" t="inlineStr">
        <is>
          <t>Closing Balance</t>
        </is>
      </c>
      <c r="L5" s="8" t="inlineStr">
        <is>
          <t>Closing Balance</t>
        </is>
      </c>
      <c r="M5" s="2" t="inlineStr">
        <is>
          <t>Closing Balance</t>
        </is>
      </c>
    </row>
    <row r="6">
      <c r="B6" s="9" t="inlineStr">
        <is>
          <t>Debit</t>
        </is>
      </c>
      <c r="C6" s="9" t="inlineStr">
        <is>
          <t>Credit</t>
        </is>
      </c>
      <c r="D6" s="9" t="inlineStr">
        <is>
          <t>Debit</t>
        </is>
      </c>
      <c r="E6" s="9" t="inlineStr">
        <is>
          <t>Credit</t>
        </is>
      </c>
      <c r="F6" s="9" t="inlineStr">
        <is>
          <t>Debit</t>
        </is>
      </c>
      <c r="G6" s="9" t="inlineStr">
        <is>
          <t>Credit</t>
        </is>
      </c>
      <c r="H6" s="9" t="inlineStr">
        <is>
          <t>Debit</t>
        </is>
      </c>
      <c r="I6" s="9" t="inlineStr">
        <is>
          <t>Credit</t>
        </is>
      </c>
      <c r="J6" s="9" t="inlineStr">
        <is>
          <t>Debit</t>
        </is>
      </c>
      <c r="K6" s="9" t="inlineStr">
        <is>
          <t>Credit</t>
        </is>
      </c>
      <c r="L6" s="9" t="inlineStr">
        <is>
          <t>Debit</t>
        </is>
      </c>
      <c r="M6" s="9" t="inlineStr">
        <is>
          <t>Credit</t>
        </is>
      </c>
    </row>
    <row r="7">
      <c r="A7" s="5" t="inlineStr">
        <is>
          <t>Capital Account</t>
        </is>
      </c>
      <c r="B7" s="10" t="n">
        <v>195200</v>
      </c>
      <c r="C7" s="10" t="n">
        <v>200000</v>
      </c>
      <c r="D7" s="11" t="n">
        <v>195200</v>
      </c>
      <c r="E7" s="11" t="n">
        <v>200000</v>
      </c>
      <c r="F7" s="10" t="n">
        <v>195200</v>
      </c>
      <c r="G7" s="10" t="n">
        <v>200000</v>
      </c>
      <c r="H7" s="11" t="n">
        <v>195200</v>
      </c>
      <c r="I7" s="11" t="n">
        <v>200000</v>
      </c>
      <c r="J7" s="10" t="n">
        <v>195200</v>
      </c>
      <c r="K7" s="10" t="n">
        <v>200000</v>
      </c>
      <c r="L7" s="11" t="n">
        <v>195200</v>
      </c>
      <c r="M7" s="11" t="n">
        <v>1026505.47</v>
      </c>
    </row>
    <row r="8">
      <c r="A8" s="12" t="inlineStr">
        <is>
          <t>Current Account Yi Zou</t>
        </is>
      </c>
      <c r="B8" s="13" t="n">
        <v>9999</v>
      </c>
      <c r="D8" s="14" t="n">
        <v>20000</v>
      </c>
      <c r="F8" s="13" t="n">
        <v>20000</v>
      </c>
      <c r="H8" s="14" t="n">
        <v>20000</v>
      </c>
      <c r="J8" s="13" t="n">
        <v>20000</v>
      </c>
      <c r="L8" s="14" t="n">
        <v>20000</v>
      </c>
    </row>
    <row r="9">
      <c r="A9" s="12" t="inlineStr">
        <is>
          <t>Current Account -ABRAHAM</t>
        </is>
      </c>
      <c r="M9" s="14" t="n">
        <v>826505.47</v>
      </c>
    </row>
    <row r="10">
      <c r="A10" s="12" t="inlineStr">
        <is>
          <t>Current Account -Bbd</t>
        </is>
      </c>
    </row>
    <row r="11">
      <c r="A11" s="12" t="inlineStr">
        <is>
          <t>Current Account -Zkl</t>
        </is>
      </c>
    </row>
    <row r="12">
      <c r="A12" s="12" t="inlineStr">
        <is>
          <t>Current Account - Shaoping Li</t>
        </is>
      </c>
      <c r="B12" s="13" t="n">
        <v>175200</v>
      </c>
      <c r="D12" s="14" t="n">
        <v>175200</v>
      </c>
      <c r="F12" s="13" t="n">
        <v>175200</v>
      </c>
      <c r="H12" s="14" t="n">
        <v>175200</v>
      </c>
      <c r="J12" s="13" t="n">
        <v>175200</v>
      </c>
      <c r="L12" s="14" t="n">
        <v>175200</v>
      </c>
    </row>
    <row r="13">
      <c r="A13" s="12" t="inlineStr">
        <is>
          <t>Share Capital</t>
        </is>
      </c>
      <c r="C13" s="13" t="n">
        <v>200000</v>
      </c>
      <c r="E13" s="11" t="n">
        <v>200000</v>
      </c>
      <c r="G13" s="13" t="n">
        <v>200000</v>
      </c>
      <c r="I13" s="11" t="n">
        <v>200000</v>
      </c>
      <c r="K13" s="13" t="n">
        <v>200000</v>
      </c>
      <c r="M13" s="14" t="n">
        <v>200000</v>
      </c>
    </row>
    <row r="14">
      <c r="A14" s="5" t="inlineStr">
        <is>
          <t>Current Liabilities</t>
        </is>
      </c>
      <c r="B14" s="10" t="n">
        <v>21914.35</v>
      </c>
      <c r="C14" s="10" t="n">
        <v>1535322.41</v>
      </c>
      <c r="D14" s="11" t="n">
        <v>24183.1</v>
      </c>
      <c r="E14" s="11" t="n">
        <v>1716153.02</v>
      </c>
      <c r="F14" s="10" t="n">
        <v>24414.35</v>
      </c>
      <c r="G14" s="10" t="n">
        <v>1718492.29</v>
      </c>
      <c r="H14" s="11" t="n">
        <v>24733.35</v>
      </c>
      <c r="I14" s="11" t="n">
        <v>1721932.79</v>
      </c>
      <c r="J14" s="10" t="n">
        <v>24733.35</v>
      </c>
      <c r="K14" s="10" t="n">
        <v>1721932.79</v>
      </c>
      <c r="L14" s="11" t="n">
        <v>20236.57</v>
      </c>
      <c r="M14" s="11" t="n">
        <v>1294716.38</v>
      </c>
    </row>
    <row r="15">
      <c r="A15" s="15" t="inlineStr">
        <is>
          <t>Duties &amp; Taxes</t>
        </is>
      </c>
      <c r="B15" s="14" t="n">
        <v>21914.35</v>
      </c>
      <c r="C15" s="14" t="n">
        <v>8641.700000000001</v>
      </c>
      <c r="D15" s="13" t="n">
        <v>24183.1</v>
      </c>
      <c r="E15" s="13" t="n">
        <v>9479.469999999999</v>
      </c>
      <c r="F15" s="14" t="n">
        <v>24414.35</v>
      </c>
      <c r="G15" s="14" t="n">
        <v>9479.469999999999</v>
      </c>
      <c r="H15" s="13" t="n">
        <v>24733.35</v>
      </c>
      <c r="I15" s="13" t="n">
        <v>9479.469999999999</v>
      </c>
      <c r="J15" s="14" t="n">
        <v>24733.35</v>
      </c>
      <c r="K15" s="14" t="n">
        <v>9479.469999999999</v>
      </c>
      <c r="L15" s="13" t="n">
        <v>20111.15</v>
      </c>
      <c r="M15" s="13" t="n">
        <v>6705.1</v>
      </c>
    </row>
    <row r="16">
      <c r="A16" s="12" t="inlineStr">
        <is>
          <t>Sundry Creditors</t>
        </is>
      </c>
      <c r="C16" s="13" t="n">
        <v>1525409.6</v>
      </c>
      <c r="E16" s="13" t="n">
        <v>1701296.51</v>
      </c>
      <c r="G16" s="13" t="n">
        <v>1707518.51</v>
      </c>
      <c r="I16" s="13" t="n">
        <v>1710845.51</v>
      </c>
      <c r="K16" s="13" t="n">
        <v>1710845.51</v>
      </c>
      <c r="L16" s="13" t="n">
        <v>125.42</v>
      </c>
      <c r="M16" s="13" t="n">
        <v>1265630.34</v>
      </c>
    </row>
    <row r="17">
      <c r="A17" s="12" t="inlineStr">
        <is>
          <t>Provision for End of Service Benifits</t>
        </is>
      </c>
      <c r="C17" s="13" t="n">
        <v>1271.11</v>
      </c>
      <c r="E17" s="14" t="n">
        <v>1377.04</v>
      </c>
      <c r="G17" s="13" t="n">
        <v>1494.31</v>
      </c>
      <c r="I17" s="14" t="n">
        <v>1607.81</v>
      </c>
      <c r="K17" s="13" t="n">
        <v>1607.81</v>
      </c>
      <c r="M17" s="14" t="n">
        <v>22380.94</v>
      </c>
    </row>
    <row r="18">
      <c r="A18" s="12" t="inlineStr">
        <is>
          <t>Salary Payable</t>
        </is>
      </c>
      <c r="E18" s="11" t="n">
        <v>4000</v>
      </c>
    </row>
    <row r="19">
      <c r="A19" s="5" t="inlineStr">
        <is>
          <t>Fixed Assets</t>
        </is>
      </c>
      <c r="B19" s="10" t="n">
        <v>19302.63</v>
      </c>
      <c r="C19" s="10" t="n">
        <v>17857.63</v>
      </c>
      <c r="D19" s="11" t="n">
        <v>19302.63</v>
      </c>
      <c r="E19" s="11" t="n">
        <v>18097.63</v>
      </c>
      <c r="F19" s="10" t="n">
        <v>19302.63</v>
      </c>
      <c r="G19" s="10" t="n">
        <v>18337.63</v>
      </c>
      <c r="H19" s="11" t="n">
        <v>19302.63</v>
      </c>
      <c r="I19" s="11" t="n">
        <v>18577.63</v>
      </c>
      <c r="J19" s="10" t="n">
        <v>19302.63</v>
      </c>
      <c r="K19" s="10" t="n">
        <v>18577.63</v>
      </c>
      <c r="L19" s="11" t="n">
        <v>19302.63</v>
      </c>
      <c r="M19" s="11" t="n">
        <v>14738.63</v>
      </c>
    </row>
    <row r="20">
      <c r="A20" s="12" t="inlineStr">
        <is>
          <t>Accu. Dep. Computer</t>
        </is>
      </c>
      <c r="C20" s="13" t="n">
        <v>17857.63</v>
      </c>
      <c r="E20" s="14" t="n">
        <v>18097.63</v>
      </c>
      <c r="G20" s="13" t="n">
        <v>18337.63</v>
      </c>
      <c r="I20" s="14" t="n">
        <v>18577.63</v>
      </c>
      <c r="K20" s="13" t="n">
        <v>18577.63</v>
      </c>
      <c r="M20" s="14" t="n">
        <v>14738.63</v>
      </c>
    </row>
    <row r="21">
      <c r="A21" s="12" t="inlineStr">
        <is>
          <t>laptop computers</t>
        </is>
      </c>
      <c r="B21" s="13" t="n">
        <v>19302.63</v>
      </c>
      <c r="D21" s="11" t="n">
        <v>19302.63</v>
      </c>
      <c r="F21" s="13" t="n">
        <v>19302.63</v>
      </c>
      <c r="H21" s="11" t="n">
        <v>19302.63</v>
      </c>
      <c r="J21" s="13" t="n">
        <v>19302.63</v>
      </c>
      <c r="L21" s="14" t="n">
        <v>19302.63</v>
      </c>
    </row>
    <row r="22">
      <c r="A22" s="5" t="inlineStr">
        <is>
          <t>Current Assets</t>
        </is>
      </c>
      <c r="B22" s="10" t="n">
        <v>1318688.29</v>
      </c>
      <c r="C22" s="10" t="n">
        <v>39149.92</v>
      </c>
      <c r="D22" s="11" t="n">
        <v>1314862.39</v>
      </c>
      <c r="E22" s="11" t="n">
        <v>42180.81</v>
      </c>
      <c r="F22" s="10" t="n">
        <v>1657802.55</v>
      </c>
      <c r="G22" s="10" t="n">
        <v>39149.92</v>
      </c>
      <c r="H22" s="11" t="n">
        <v>1655703.4</v>
      </c>
      <c r="I22" s="11" t="n">
        <v>181130.14</v>
      </c>
      <c r="J22" s="10" t="n">
        <v>1655703.4</v>
      </c>
      <c r="K22" s="10" t="n">
        <v>181130.14</v>
      </c>
      <c r="L22" s="11" t="n">
        <v>1174042.85</v>
      </c>
      <c r="M22" s="11" t="n">
        <v>39149.92</v>
      </c>
    </row>
    <row r="23">
      <c r="A23" s="12" t="inlineStr">
        <is>
          <t>Opening Stock</t>
        </is>
      </c>
      <c r="B23" s="13" t="n">
        <v>505500.99</v>
      </c>
      <c r="D23" s="13" t="n">
        <v>468503.17</v>
      </c>
      <c r="F23" s="13" t="n">
        <v>604797.62</v>
      </c>
      <c r="H23" s="13" t="n">
        <v>479780.16</v>
      </c>
      <c r="J23" s="13" t="n">
        <v>479780.16</v>
      </c>
      <c r="L23" s="14" t="n">
        <v>404022.7</v>
      </c>
    </row>
    <row r="24">
      <c r="A24" s="15" t="inlineStr">
        <is>
          <t>Sundry Debtors</t>
        </is>
      </c>
      <c r="B24" s="14" t="n">
        <v>253999.52</v>
      </c>
      <c r="C24" s="14" t="n">
        <v>39149.92</v>
      </c>
      <c r="D24" s="13" t="n">
        <v>300392.06</v>
      </c>
      <c r="E24" s="13" t="n">
        <v>42180.81</v>
      </c>
      <c r="F24" s="14" t="n">
        <v>441954.23</v>
      </c>
      <c r="G24" s="14" t="n">
        <v>39149.92</v>
      </c>
      <c r="H24" s="13" t="n">
        <v>299201.53</v>
      </c>
      <c r="I24" s="13" t="n">
        <v>181130.14</v>
      </c>
      <c r="J24" s="14" t="n">
        <v>299201.53</v>
      </c>
      <c r="K24" s="14" t="n">
        <v>181130.14</v>
      </c>
      <c r="L24" s="13" t="n">
        <v>296113.36</v>
      </c>
      <c r="M24" s="13" t="n">
        <v>39149.92</v>
      </c>
    </row>
    <row r="25">
      <c r="A25" s="12" t="inlineStr">
        <is>
          <t>Bank Accounts</t>
        </is>
      </c>
      <c r="B25" s="13" t="n">
        <v>541051.3100000001</v>
      </c>
      <c r="D25" s="13" t="n">
        <v>491084.52</v>
      </c>
      <c r="F25" s="13" t="n">
        <v>559501.47</v>
      </c>
      <c r="H25" s="13" t="n">
        <v>828505.89</v>
      </c>
      <c r="J25" s="13" t="n">
        <v>828505.89</v>
      </c>
      <c r="L25" s="13" t="n">
        <v>428267.42</v>
      </c>
    </row>
    <row r="26">
      <c r="A26" s="12" t="inlineStr">
        <is>
          <t>Bank Guarantee for Employees</t>
        </is>
      </c>
      <c r="B26" s="13" t="n">
        <v>8951</v>
      </c>
      <c r="D26" s="14" t="n">
        <v>8951</v>
      </c>
      <c r="F26" s="13" t="n">
        <v>8951</v>
      </c>
      <c r="H26" s="14" t="n">
        <v>8951</v>
      </c>
      <c r="J26" s="13" t="n">
        <v>8951</v>
      </c>
      <c r="L26" s="14" t="n">
        <v>8951</v>
      </c>
    </row>
    <row r="27">
      <c r="A27" s="12" t="inlineStr">
        <is>
          <t>Jabel Ali JAFZA</t>
        </is>
      </c>
      <c r="B27" s="13" t="n">
        <v>2518.73</v>
      </c>
      <c r="D27" s="14" t="n">
        <v>2598.23</v>
      </c>
      <c r="F27" s="13" t="n">
        <v>2598.23</v>
      </c>
      <c r="H27" s="14" t="n">
        <v>2598.23</v>
      </c>
      <c r="J27" s="13" t="n">
        <v>2598.23</v>
      </c>
      <c r="L27" s="14" t="n">
        <v>3354.99</v>
      </c>
    </row>
    <row r="28">
      <c r="A28" s="12" t="inlineStr">
        <is>
          <t>Prepayment Rent</t>
        </is>
      </c>
      <c r="B28" s="13" t="n">
        <v>6666.74</v>
      </c>
      <c r="D28" s="11" t="n">
        <v>43333.41</v>
      </c>
      <c r="F28" s="13" t="n">
        <v>40000</v>
      </c>
      <c r="H28" s="11" t="n">
        <v>36666.59</v>
      </c>
      <c r="J28" s="13" t="n">
        <v>36666.59</v>
      </c>
      <c r="L28" s="14" t="n">
        <v>33333.38</v>
      </c>
    </row>
    <row r="29">
      <c r="A29" s="5" t="inlineStr">
        <is>
          <t>Sales Accounts</t>
        </is>
      </c>
      <c r="C29" s="10" t="n">
        <v>62401.5</v>
      </c>
      <c r="E29" s="11" t="n">
        <v>56499.75</v>
      </c>
      <c r="G29" s="10" t="n">
        <v>225351.47</v>
      </c>
      <c r="M29" s="11" t="n">
        <v>360940.94</v>
      </c>
    </row>
    <row r="30">
      <c r="A30" s="12" t="inlineStr">
        <is>
          <t>Sales - Export</t>
        </is>
      </c>
      <c r="C30" s="13" t="n">
        <v>51694.5</v>
      </c>
      <c r="E30" s="14" t="n">
        <v>26618</v>
      </c>
      <c r="G30" s="13" t="n">
        <v>131419.97</v>
      </c>
      <c r="M30" s="14" t="n">
        <v>163284.5</v>
      </c>
    </row>
    <row r="31">
      <c r="A31" s="12" t="inlineStr">
        <is>
          <t>Sales Local Without Tax</t>
        </is>
      </c>
      <c r="C31" s="13" t="n">
        <v>10707</v>
      </c>
      <c r="E31" s="11" t="n">
        <v>29881.75</v>
      </c>
      <c r="G31" s="13" t="n">
        <v>93931.5</v>
      </c>
      <c r="M31" s="14" t="n">
        <v>197656.44</v>
      </c>
    </row>
    <row r="32">
      <c r="A32" s="5" t="inlineStr">
        <is>
          <t>Purchase Accounts</t>
        </is>
      </c>
      <c r="D32" s="11" t="n">
        <v>168742.97</v>
      </c>
      <c r="L32" s="11" t="n">
        <v>168264.38</v>
      </c>
    </row>
    <row r="33">
      <c r="A33" s="12" t="inlineStr">
        <is>
          <t>Purchases - Import</t>
        </is>
      </c>
      <c r="D33" s="11" t="n">
        <v>168742.97</v>
      </c>
      <c r="L33" s="14" t="n">
        <v>168264.38</v>
      </c>
    </row>
    <row r="34">
      <c r="A34" s="5" t="inlineStr">
        <is>
          <t>Direct Expenses</t>
        </is>
      </c>
      <c r="B34" s="10" t="n">
        <v>2415</v>
      </c>
      <c r="D34" s="11" t="n">
        <v>17845.4</v>
      </c>
      <c r="F34" s="10" t="n">
        <v>9832</v>
      </c>
      <c r="H34" s="11" t="n">
        <v>9471.5</v>
      </c>
      <c r="L34" s="11" t="n">
        <v>28448.21</v>
      </c>
    </row>
    <row r="35">
      <c r="A35" s="15" t="inlineStr">
        <is>
          <t>Freight &amp; Shipping cost</t>
        </is>
      </c>
      <c r="B35" s="14" t="n">
        <v>590</v>
      </c>
      <c r="D35" s="13" t="n">
        <v>8638.049999999999</v>
      </c>
      <c r="F35" s="14" t="n">
        <v>2790</v>
      </c>
      <c r="H35" s="13" t="n">
        <v>7549</v>
      </c>
      <c r="L35" s="13" t="n">
        <v>16072.92</v>
      </c>
    </row>
    <row r="36">
      <c r="A36" s="12" t="inlineStr">
        <is>
          <t>Warehouse maintenance costs</t>
        </is>
      </c>
      <c r="B36" s="13" t="n">
        <v>1090</v>
      </c>
      <c r="D36" s="13" t="n">
        <v>1717.8</v>
      </c>
      <c r="F36" s="13" t="n">
        <v>1000</v>
      </c>
      <c r="H36" s="13" t="n">
        <v>1000</v>
      </c>
      <c r="L36" s="13" t="n">
        <v>2791.13</v>
      </c>
    </row>
    <row r="37">
      <c r="A37" s="12" t="inlineStr">
        <is>
          <t>Custom Duty</t>
        </is>
      </c>
      <c r="B37" s="13" t="n">
        <v>535</v>
      </c>
      <c r="D37" s="14" t="n">
        <v>1494</v>
      </c>
      <c r="F37" s="13" t="n">
        <v>4697</v>
      </c>
      <c r="L37" s="14" t="n">
        <v>9050</v>
      </c>
    </row>
    <row r="38">
      <c r="A38" s="12" t="inlineStr">
        <is>
          <t>Custom Transfer Charges</t>
        </is>
      </c>
      <c r="D38" s="14" t="n">
        <v>25</v>
      </c>
    </row>
    <row r="39">
      <c r="A39" s="12" t="inlineStr">
        <is>
          <t>IN- OUT HANDLING CHARGES</t>
        </is>
      </c>
      <c r="B39" s="13" t="n">
        <v>200</v>
      </c>
      <c r="D39" s="14" t="n">
        <v>2832</v>
      </c>
      <c r="F39" s="13" t="n">
        <v>400</v>
      </c>
      <c r="H39" s="14" t="n">
        <v>672.5</v>
      </c>
      <c r="L39" s="14" t="n">
        <v>534.16</v>
      </c>
    </row>
    <row r="40">
      <c r="A40" s="12" t="inlineStr">
        <is>
          <t>Other Shipping and Logistics Expense</t>
        </is>
      </c>
      <c r="D40" s="14" t="n">
        <v>3138.55</v>
      </c>
    </row>
    <row r="41">
      <c r="A41" s="12" t="inlineStr">
        <is>
          <t>Service Charges</t>
        </is>
      </c>
      <c r="F41" s="13" t="n">
        <v>750</v>
      </c>
      <c r="H41" s="14" t="n">
        <v>250</v>
      </c>
    </row>
    <row r="42">
      <c r="A42" s="12" t="inlineStr">
        <is>
          <t>Shrink Wrapp Charges</t>
        </is>
      </c>
      <c r="F42" s="13" t="n">
        <v>195</v>
      </c>
    </row>
    <row r="43">
      <c r="A43" s="5" t="inlineStr">
        <is>
          <t>Indirect Expenses</t>
        </is>
      </c>
      <c r="B43" s="10" t="n">
        <v>14498.42</v>
      </c>
      <c r="C43" s="10" t="n">
        <v>302</v>
      </c>
      <c r="D43" s="11" t="n">
        <v>18572.22</v>
      </c>
      <c r="F43" s="10" t="n">
        <v>8190.89</v>
      </c>
      <c r="H43" s="11" t="n">
        <v>12951.91</v>
      </c>
      <c r="L43" s="11" t="n">
        <v>233062.61</v>
      </c>
      <c r="M43" s="11" t="n">
        <v>59.06</v>
      </c>
    </row>
    <row r="44">
      <c r="A44" s="15" t="inlineStr">
        <is>
          <t>Sales Commission Expenses..</t>
        </is>
      </c>
      <c r="L44" s="13" t="n">
        <v>10039.03</v>
      </c>
    </row>
    <row r="45">
      <c r="A45" s="12" t="inlineStr">
        <is>
          <t>Staff Cost</t>
        </is>
      </c>
      <c r="B45" s="13" t="n">
        <v>4147.28</v>
      </c>
      <c r="D45" s="13" t="n">
        <v>4105.93</v>
      </c>
      <c r="F45" s="13" t="n">
        <v>4177.27</v>
      </c>
      <c r="H45" s="13" t="n">
        <v>4143.5</v>
      </c>
      <c r="L45" s="13" t="n">
        <v>142253.28</v>
      </c>
    </row>
    <row r="46">
      <c r="A46" s="12" t="inlineStr">
        <is>
          <t>Trade Licence &amp; Other Legal Exp</t>
        </is>
      </c>
      <c r="D46" s="13" t="n">
        <v>7920.5</v>
      </c>
      <c r="L46" s="13" t="n">
        <v>6920.5</v>
      </c>
    </row>
    <row r="47">
      <c r="A47" s="12" t="inlineStr">
        <is>
          <t>Travelling Expense</t>
        </is>
      </c>
      <c r="L47" s="13" t="n">
        <v>852.7</v>
      </c>
    </row>
    <row r="48">
      <c r="A48" s="12" t="inlineStr">
        <is>
          <t>Vehicle Running &amp; Maintenance Exp.</t>
        </is>
      </c>
      <c r="L48" s="13" t="n">
        <v>15708.27</v>
      </c>
    </row>
    <row r="49">
      <c r="A49" s="12" t="inlineStr">
        <is>
          <t>Accomodation Expense (Hotel Charges)</t>
        </is>
      </c>
      <c r="L49" s="14" t="n">
        <v>1038</v>
      </c>
    </row>
    <row r="50">
      <c r="A50" s="12" t="inlineStr">
        <is>
          <t>Bank Charges</t>
        </is>
      </c>
      <c r="B50" s="13" t="n">
        <v>661.55</v>
      </c>
      <c r="D50" s="14" t="n">
        <v>472.46</v>
      </c>
      <c r="F50" s="13" t="n">
        <v>422.1</v>
      </c>
      <c r="H50" s="14" t="n">
        <v>735</v>
      </c>
      <c r="L50" s="14" t="n">
        <v>61.17</v>
      </c>
    </row>
    <row r="51">
      <c r="A51" s="12" t="inlineStr">
        <is>
          <t>Consultancy Fees</t>
        </is>
      </c>
      <c r="B51" s="13" t="n">
        <v>4500</v>
      </c>
      <c r="H51" s="13" t="n">
        <v>4500</v>
      </c>
      <c r="L51" s="14" t="n">
        <v>9000</v>
      </c>
    </row>
    <row r="52">
      <c r="A52" s="12" t="inlineStr">
        <is>
          <t>Courier Charges</t>
        </is>
      </c>
      <c r="L52" s="14" t="n">
        <v>147.19</v>
      </c>
    </row>
    <row r="53">
      <c r="A53" s="12" t="inlineStr">
        <is>
          <t>Depreciation</t>
        </is>
      </c>
      <c r="B53" s="13" t="n">
        <v>240</v>
      </c>
      <c r="D53" s="11" t="n">
        <v>240</v>
      </c>
      <c r="F53" s="13" t="n">
        <v>240</v>
      </c>
      <c r="H53" s="11" t="n">
        <v>240</v>
      </c>
    </row>
    <row r="54">
      <c r="A54" s="12" t="inlineStr">
        <is>
          <t>Entertainment Expense</t>
        </is>
      </c>
      <c r="L54" s="14" t="n">
        <v>1139.54</v>
      </c>
    </row>
    <row r="55">
      <c r="A55" s="12" t="inlineStr">
        <is>
          <t>Fuel Charges</t>
        </is>
      </c>
      <c r="L55" s="14" t="n">
        <v>674.4</v>
      </c>
    </row>
    <row r="56">
      <c r="A56" s="12" t="inlineStr">
        <is>
          <t>IT &amp; Internet Expenses</t>
        </is>
      </c>
      <c r="L56" s="14" t="n">
        <v>5148</v>
      </c>
    </row>
    <row r="57">
      <c r="A57" s="12" t="inlineStr">
        <is>
          <t>Legal &amp; Professional</t>
        </is>
      </c>
      <c r="B57" s="13" t="n">
        <v>1616.26</v>
      </c>
      <c r="D57" s="14" t="n">
        <v>2500</v>
      </c>
      <c r="L57" s="14" t="n">
        <v>16596.5</v>
      </c>
    </row>
    <row r="58">
      <c r="A58" s="12" t="inlineStr">
        <is>
          <t>Office Expenses</t>
        </is>
      </c>
      <c r="L58" s="14" t="n">
        <v>2225.76</v>
      </c>
    </row>
    <row r="59">
      <c r="A59" s="12" t="inlineStr">
        <is>
          <t>Printing &amp; Stationary</t>
        </is>
      </c>
      <c r="L59" s="14" t="n">
        <v>37.5</v>
      </c>
    </row>
    <row r="60">
      <c r="A60" s="12" t="inlineStr">
        <is>
          <t>Rent</t>
        </is>
      </c>
      <c r="B60" s="13" t="n">
        <v>3333.33</v>
      </c>
      <c r="D60" s="14" t="n">
        <v>3333.33</v>
      </c>
      <c r="F60" s="13" t="n">
        <v>3333.41</v>
      </c>
      <c r="H60" s="14" t="n">
        <v>3333.41</v>
      </c>
      <c r="L60" s="14" t="n">
        <v>16666.65</v>
      </c>
    </row>
    <row r="61">
      <c r="A61" s="12" t="inlineStr">
        <is>
          <t>selling and distribution expense(Sample)</t>
        </is>
      </c>
      <c r="L61" s="14" t="n">
        <v>1983.09</v>
      </c>
    </row>
    <row r="62">
      <c r="A62" s="12" t="inlineStr">
        <is>
          <t>Telephone Expense</t>
        </is>
      </c>
      <c r="L62" s="14" t="n">
        <v>2571.03</v>
      </c>
    </row>
    <row r="63">
      <c r="A63" s="12" t="inlineStr">
        <is>
          <t>Unadjusted Forex Gain/Loss</t>
        </is>
      </c>
      <c r="C63" s="13" t="n">
        <v>302</v>
      </c>
      <c r="F63" s="13" t="n">
        <v>18.11</v>
      </c>
      <c r="M63" s="14" t="n">
        <v>59.06</v>
      </c>
    </row>
    <row r="64">
      <c r="A64" s="15" t="inlineStr">
        <is>
          <t>Profit &amp; Loss A/c</t>
        </is>
      </c>
      <c r="B64" s="14" t="n">
        <v>283012.45</v>
      </c>
      <c r="D64" s="13" t="n">
        <v>274220.19</v>
      </c>
      <c r="F64" s="14" t="n">
        <v>286586.58</v>
      </c>
      <c r="H64" s="13" t="n">
        <v>204275.46</v>
      </c>
      <c r="J64" s="14" t="n">
        <v>226698.87</v>
      </c>
      <c r="L64" s="13" t="n">
        <v>897550.86</v>
      </c>
    </row>
    <row r="65">
      <c r="A65" s="16" t="inlineStr">
        <is>
          <t>Unadjusted Forex Gain/Loss</t>
        </is>
      </c>
      <c r="B65" s="14" t="n">
        <v>2.35</v>
      </c>
      <c r="C65" s="14" t="n">
        <v>0.03</v>
      </c>
      <c r="D65" s="13" t="n">
        <v>2.34</v>
      </c>
      <c r="E65" s="13" t="n">
        <v>0.03</v>
      </c>
      <c r="F65" s="14" t="n">
        <v>2.34</v>
      </c>
      <c r="G65" s="14" t="n">
        <v>0.03</v>
      </c>
      <c r="H65" s="13" t="n">
        <v>2.34</v>
      </c>
      <c r="I65" s="13" t="n">
        <v>0.03</v>
      </c>
      <c r="J65" s="14" t="n">
        <v>2.34</v>
      </c>
      <c r="K65" s="14" t="n">
        <v>0.03</v>
      </c>
      <c r="L65" s="13" t="n">
        <v>2.3</v>
      </c>
      <c r="M65" s="13" t="n">
        <v>0.01</v>
      </c>
    </row>
    <row r="66">
      <c r="A66" s="5" t="inlineStr">
        <is>
          <t>Grand Total</t>
        </is>
      </c>
      <c r="B66" s="10" t="n">
        <v>1855033.49</v>
      </c>
      <c r="C66" s="10" t="n">
        <v>1855033.49</v>
      </c>
      <c r="D66" s="11" t="n">
        <v>2032931.24</v>
      </c>
      <c r="E66" s="11" t="n">
        <v>2032931.24</v>
      </c>
      <c r="F66" s="10" t="n">
        <v>2201331.34</v>
      </c>
      <c r="G66" s="10" t="n">
        <v>2201331.34</v>
      </c>
      <c r="H66" s="11" t="n">
        <v>2121640.59</v>
      </c>
      <c r="I66" s="11" t="n">
        <v>2121640.59</v>
      </c>
      <c r="J66" s="10" t="n">
        <v>2121640.59</v>
      </c>
      <c r="K66" s="10" t="n">
        <v>2121640.59</v>
      </c>
      <c r="L66" s="11" t="n">
        <v>2736110.41</v>
      </c>
      <c r="M66" s="11" t="n">
        <v>2736110.41</v>
      </c>
    </row>
  </sheetData>
  <pageMargins left="0.7" right="0.7" top="0.75" bottom="0.75" header="0.3" footer="0.3"/>
  <pageSetup orientation="portrait" scale="100" fitToHeight="1" fitToWidth="1" horizontalDpi="4294967295" verticalDpi="429496729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2026-02-10T21:55:22Z</dcterms:created>
  <dcterms:modified xsi:type="dcterms:W3CDTF">2026-02-10T22:14:49Z</dcterms:modified>
  <cp:lastModifiedBy>Unknown</cp:lastModifiedBy>
</cp:coreProperties>
</file>